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 activeTab="1"/>
  </bookViews>
  <sheets>
    <sheet name="稳态精度测试" sheetId="1" r:id="rId1"/>
    <sheet name="动态响应测试" sheetId="2" r:id="rId2"/>
    <sheet name="远程控制测试" sheetId="3" r:id="rId3"/>
    <sheet name="测试步骤指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<sst xmlns="http://schemas.openxmlformats.org/spreadsheetml/2006/main" count="389" uniqueCount="316">
  <si>
    <t>实验室稳态精度测试记录表</t>
  </si>
  <si>
    <t>测试日期：</t>
  </si>
  <si>
    <t>测试人员：</t>
  </si>
  <si>
    <t>Tian Qiyuan</t>
  </si>
  <si>
    <t>电源电压：</t>
  </si>
  <si>
    <t>240V AC</t>
  </si>
  <si>
    <t>参考仪器：</t>
  </si>
  <si>
    <r>
      <rPr>
        <sz val="10"/>
        <rFont val="Arial"/>
        <charset val="1"/>
      </rPr>
      <t xml:space="preserve">Fluke </t>
    </r>
    <r>
      <rPr>
        <sz val="10"/>
        <rFont val="Noto Sans CJK SC"/>
        <charset val="134"/>
      </rPr>
      <t>万用表</t>
    </r>
  </si>
  <si>
    <t>负载设备：</t>
  </si>
  <si>
    <t>3× FESTO Bank 3 (84W 230V~ each)</t>
  </si>
  <si>
    <t>被测设备：</t>
  </si>
  <si>
    <t>TOWSMR1-40 → STM32WB</t>
  </si>
  <si>
    <t>总可用功率：</t>
  </si>
  <si>
    <t>~275W (3×92W)</t>
  </si>
  <si>
    <t>数据读取：</t>
  </si>
  <si>
    <t>Grafana + STM32 LCD</t>
  </si>
  <si>
    <t>设备参数：每组 Bank 3 含 R7=4400Ω, R8=2200Ω, R9=1100Ω（并联开关），3 组 Bank 之间也并联</t>
  </si>
  <si>
    <t>测试点设计（10 个负载工况，覆盖 0~275W）</t>
  </si>
  <si>
    <t>测试点</t>
  </si>
  <si>
    <t>操作说明</t>
  </si>
  <si>
    <t>等效电阻
(Ω)</t>
  </si>
  <si>
    <t>理论电流
(A) @240V</t>
  </si>
  <si>
    <t>理论功率
(W) @240V</t>
  </si>
  <si>
    <t>负载
百分比</t>
  </si>
  <si>
    <t>测试目的</t>
  </si>
  <si>
    <r>
      <rPr>
        <sz val="10"/>
        <rFont val="Arial"/>
        <charset val="1"/>
      </rPr>
      <t xml:space="preserve">TP0
</t>
    </r>
    <r>
      <rPr>
        <sz val="10"/>
        <rFont val="Noto Sans CJK SC"/>
        <charset val="134"/>
      </rPr>
      <t>空载</t>
    </r>
  </si>
  <si>
    <t>全部断开</t>
  </si>
  <si>
    <t>∞</t>
  </si>
  <si>
    <t>0</t>
  </si>
  <si>
    <t>0%</t>
  </si>
  <si>
    <t>零点校准</t>
  </si>
  <si>
    <t>TP1</t>
  </si>
  <si>
    <t>Bank1: R7 only</t>
  </si>
  <si>
    <t>4400</t>
  </si>
  <si>
    <t>0.055</t>
  </si>
  <si>
    <t>13.1</t>
  </si>
  <si>
    <t>5%</t>
  </si>
  <si>
    <t>极小负载</t>
  </si>
  <si>
    <t>TP2</t>
  </si>
  <si>
    <t>Bank1: R9 only</t>
  </si>
  <si>
    <t>1100</t>
  </si>
  <si>
    <t>0.218</t>
  </si>
  <si>
    <t>52.4</t>
  </si>
  <si>
    <t>小负载</t>
  </si>
  <si>
    <t>TP3</t>
  </si>
  <si>
    <r>
      <rPr>
        <sz val="10"/>
        <rFont val="Arial"/>
        <charset val="1"/>
      </rPr>
      <t xml:space="preserve">Bank1: </t>
    </r>
    <r>
      <rPr>
        <sz val="10"/>
        <rFont val="Noto Sans CJK SC"/>
        <charset val="134"/>
      </rPr>
      <t>全部</t>
    </r>
  </si>
  <si>
    <t>629</t>
  </si>
  <si>
    <t>0.382</t>
  </si>
  <si>
    <t>91.6</t>
  </si>
  <si>
    <t>单组满载</t>
  </si>
  <si>
    <t>TP4</t>
  </si>
  <si>
    <r>
      <rPr>
        <sz val="10"/>
        <rFont val="Arial"/>
        <charset val="1"/>
      </rPr>
      <t>Bank1</t>
    </r>
    <r>
      <rPr>
        <sz val="10"/>
        <rFont val="Noto Sans CJK SC"/>
        <charset val="134"/>
      </rPr>
      <t xml:space="preserve">全 </t>
    </r>
    <r>
      <rPr>
        <sz val="10"/>
        <rFont val="Arial"/>
        <charset val="1"/>
      </rPr>
      <t>+ Bank2:R9</t>
    </r>
  </si>
  <si>
    <t>中等负载</t>
  </si>
  <si>
    <t>TP5</t>
  </si>
  <si>
    <r>
      <rPr>
        <sz val="10"/>
        <rFont val="Arial"/>
        <charset val="1"/>
      </rPr>
      <t>Bank1</t>
    </r>
    <r>
      <rPr>
        <sz val="10"/>
        <rFont val="Noto Sans CJK SC"/>
        <charset val="134"/>
      </rPr>
      <t xml:space="preserve">全 </t>
    </r>
    <r>
      <rPr>
        <sz val="10"/>
        <rFont val="Arial"/>
        <charset val="1"/>
      </rPr>
      <t>+ Bank2</t>
    </r>
    <r>
      <rPr>
        <sz val="10"/>
        <rFont val="Noto Sans CJK SC"/>
        <charset val="134"/>
      </rPr>
      <t>全</t>
    </r>
  </si>
  <si>
    <t>314</t>
  </si>
  <si>
    <t>0.764</t>
  </si>
  <si>
    <t>183.3</t>
  </si>
  <si>
    <t>双组负载</t>
  </si>
  <si>
    <t>TP6</t>
  </si>
  <si>
    <r>
      <rPr>
        <sz val="10"/>
        <rFont val="Arial"/>
        <charset val="1"/>
      </rPr>
      <t>Bank1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+Bank2</t>
    </r>
    <r>
      <rPr>
        <sz val="10"/>
        <rFont val="Noto Sans CJK SC"/>
        <charset val="134"/>
      </rPr>
      <t xml:space="preserve">全
</t>
    </r>
    <r>
      <rPr>
        <sz val="10"/>
        <rFont val="Arial"/>
        <charset val="1"/>
      </rPr>
      <t>+Bank3:R9</t>
    </r>
  </si>
  <si>
    <t>高负载</t>
  </si>
  <si>
    <t>TP7</t>
  </si>
  <si>
    <r>
      <rPr>
        <sz val="10"/>
        <rFont val="Arial"/>
        <charset val="1"/>
      </rPr>
      <t>Bank1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+Bank2</t>
    </r>
    <r>
      <rPr>
        <sz val="10"/>
        <rFont val="Noto Sans CJK SC"/>
        <charset val="134"/>
      </rPr>
      <t xml:space="preserve">全
</t>
    </r>
    <r>
      <rPr>
        <sz val="10"/>
        <rFont val="Arial"/>
        <charset val="1"/>
      </rPr>
      <t>+Bank3:R8+R9</t>
    </r>
  </si>
  <si>
    <t>TP8</t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</si>
  <si>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 xml:space="preserve">组 </t>
    </r>
    <r>
      <rPr>
        <sz val="10"/>
        <rFont val="Arial"/>
        <charset val="1"/>
      </rPr>
      <t xml:space="preserve">Bank </t>
    </r>
    <r>
      <rPr>
        <sz val="10"/>
        <rFont val="Noto Sans CJK SC"/>
        <charset val="134"/>
      </rPr>
      <t>全部</t>
    </r>
  </si>
  <si>
    <t>1.145</t>
  </si>
  <si>
    <t>100%</t>
  </si>
  <si>
    <t>最大负载（近满载）</t>
  </si>
  <si>
    <t>TP9</t>
  </si>
  <si>
    <t>Bank1:R8 + Bank2:R7</t>
  </si>
  <si>
    <t>39.3</t>
  </si>
  <si>
    <t>跨组小负载验证</t>
  </si>
  <si>
    <r>
      <rPr>
        <i/>
        <sz val="9"/>
        <color rgb="FF666666"/>
        <rFont val="Arial"/>
        <charset val="1"/>
      </rPr>
      <t xml:space="preserve">* </t>
    </r>
    <r>
      <rPr>
        <i/>
        <sz val="9"/>
        <color rgb="FF666666"/>
        <rFont val="Noto Sans CJK SC"/>
        <charset val="134"/>
      </rPr>
      <t xml:space="preserve">等效电阻为并联计算值，理论功率 </t>
    </r>
    <r>
      <rPr>
        <i/>
        <sz val="9"/>
        <color rgb="FF666666"/>
        <rFont val="Arial"/>
        <charset val="1"/>
      </rPr>
      <t>= 240² / R_eq</t>
    </r>
    <r>
      <rPr>
        <i/>
        <sz val="9"/>
        <color rgb="FF666666"/>
        <rFont val="Noto Sans CJK SC"/>
        <charset val="134"/>
      </rPr>
      <t>。实际电压可能偏离</t>
    </r>
    <r>
      <rPr>
        <i/>
        <sz val="9"/>
        <color rgb="FF666666"/>
        <rFont val="Arial"/>
        <charset val="1"/>
      </rPr>
      <t>240V</t>
    </r>
    <r>
      <rPr>
        <i/>
        <sz val="9"/>
        <color rgb="FF666666"/>
        <rFont val="Noto Sans CJK SC"/>
        <charset val="134"/>
      </rPr>
      <t>，以</t>
    </r>
    <r>
      <rPr>
        <i/>
        <sz val="9"/>
        <color rgb="FF666666"/>
        <rFont val="Arial"/>
        <charset val="1"/>
      </rPr>
      <t>Fluke</t>
    </r>
    <r>
      <rPr>
        <i/>
        <sz val="9"/>
        <color rgb="FF666666"/>
        <rFont val="Noto Sans CJK SC"/>
        <charset val="134"/>
      </rPr>
      <t>读数为准。</t>
    </r>
  </si>
  <si>
    <t>稳态精度测试数据（每个测试点重复 3 次取平均，黄色格填写实测数据）</t>
  </si>
  <si>
    <t>操作</t>
  </si>
  <si>
    <r>
      <rPr>
        <b/>
        <sz val="10"/>
        <rFont val="Arial"/>
        <charset val="1"/>
      </rPr>
      <t xml:space="preserve">Fluke
</t>
    </r>
    <r>
      <rPr>
        <b/>
        <sz val="10"/>
        <rFont val="Noto Sans CJK SC"/>
        <charset val="134"/>
      </rPr>
      <t>电压</t>
    </r>
    <r>
      <rPr>
        <b/>
        <sz val="10"/>
        <rFont val="Arial"/>
        <charset val="1"/>
      </rPr>
      <t>(V)</t>
    </r>
  </si>
  <si>
    <r>
      <rPr>
        <b/>
        <sz val="10"/>
        <rFont val="Arial"/>
        <charset val="1"/>
      </rPr>
      <t xml:space="preserve">Fluke
</t>
    </r>
    <r>
      <rPr>
        <b/>
        <sz val="10"/>
        <rFont val="Noto Sans CJK SC"/>
        <charset val="134"/>
      </rPr>
      <t>电流</t>
    </r>
    <r>
      <rPr>
        <b/>
        <sz val="10"/>
        <rFont val="Arial"/>
        <charset val="1"/>
      </rPr>
      <t>(A)</t>
    </r>
  </si>
  <si>
    <r>
      <rPr>
        <b/>
        <sz val="10"/>
        <rFont val="Arial"/>
        <charset val="1"/>
      </rPr>
      <t xml:space="preserve">Fluke
</t>
    </r>
    <r>
      <rPr>
        <b/>
        <sz val="10"/>
        <rFont val="Noto Sans CJK SC"/>
        <charset val="134"/>
      </rPr>
      <t>功率</t>
    </r>
    <r>
      <rPr>
        <b/>
        <sz val="10"/>
        <rFont val="Arial"/>
        <charset val="1"/>
      </rPr>
      <t>(W)</t>
    </r>
  </si>
  <si>
    <r>
      <rPr>
        <b/>
        <sz val="10"/>
        <rFont val="Arial"/>
        <charset val="1"/>
      </rPr>
      <t xml:space="preserve">Grafana
</t>
    </r>
    <r>
      <rPr>
        <b/>
        <sz val="10"/>
        <rFont val="Noto Sans CJK SC"/>
        <charset val="134"/>
      </rPr>
      <t>电压</t>
    </r>
    <r>
      <rPr>
        <b/>
        <sz val="10"/>
        <rFont val="Arial"/>
        <charset val="1"/>
      </rPr>
      <t>(V)</t>
    </r>
  </si>
  <si>
    <r>
      <rPr>
        <b/>
        <sz val="10"/>
        <rFont val="Arial"/>
        <charset val="1"/>
      </rPr>
      <t xml:space="preserve">Grafana
</t>
    </r>
    <r>
      <rPr>
        <b/>
        <sz val="10"/>
        <rFont val="Noto Sans CJK SC"/>
        <charset val="134"/>
      </rPr>
      <t>电流</t>
    </r>
    <r>
      <rPr>
        <b/>
        <sz val="10"/>
        <rFont val="Arial"/>
        <charset val="1"/>
      </rPr>
      <t>(A)</t>
    </r>
  </si>
  <si>
    <r>
      <rPr>
        <b/>
        <sz val="10"/>
        <rFont val="Arial"/>
        <charset val="1"/>
      </rPr>
      <t xml:space="preserve">Grafana
</t>
    </r>
    <r>
      <rPr>
        <b/>
        <sz val="10"/>
        <rFont val="Noto Sans CJK SC"/>
        <charset val="134"/>
      </rPr>
      <t>功率</t>
    </r>
    <r>
      <rPr>
        <b/>
        <sz val="10"/>
        <rFont val="Arial"/>
        <charset val="1"/>
      </rPr>
      <t>(W)</t>
    </r>
  </si>
  <si>
    <r>
      <rPr>
        <b/>
        <sz val="10"/>
        <rFont val="Arial"/>
        <charset val="1"/>
      </rPr>
      <t xml:space="preserve">STM32 LCD
</t>
    </r>
    <r>
      <rPr>
        <b/>
        <sz val="10"/>
        <rFont val="Noto Sans CJK SC"/>
        <charset val="134"/>
      </rPr>
      <t>电压</t>
    </r>
    <r>
      <rPr>
        <b/>
        <sz val="10"/>
        <rFont val="Arial"/>
        <charset val="1"/>
      </rPr>
      <t>(V)</t>
    </r>
  </si>
  <si>
    <r>
      <rPr>
        <b/>
        <sz val="10"/>
        <rFont val="Arial"/>
        <charset val="1"/>
      </rPr>
      <t xml:space="preserve">STM32 LCD
</t>
    </r>
    <r>
      <rPr>
        <b/>
        <sz val="10"/>
        <rFont val="Noto Sans CJK SC"/>
        <charset val="134"/>
      </rPr>
      <t>电流</t>
    </r>
    <r>
      <rPr>
        <b/>
        <sz val="10"/>
        <rFont val="Arial"/>
        <charset val="1"/>
      </rPr>
      <t>(A)</t>
    </r>
  </si>
  <si>
    <r>
      <rPr>
        <b/>
        <sz val="10"/>
        <rFont val="Arial"/>
        <charset val="1"/>
      </rPr>
      <t xml:space="preserve">STM32 LCD
</t>
    </r>
    <r>
      <rPr>
        <b/>
        <sz val="10"/>
        <rFont val="Noto Sans CJK SC"/>
        <charset val="134"/>
      </rPr>
      <t>功率</t>
    </r>
    <r>
      <rPr>
        <b/>
        <sz val="10"/>
        <rFont val="Arial"/>
        <charset val="1"/>
      </rPr>
      <t>(W)</t>
    </r>
  </si>
  <si>
    <t>电压误差
Grafana(%)</t>
  </si>
  <si>
    <t>电流误差
Grafana(%)</t>
  </si>
  <si>
    <t>功率误差
Grafana(%)</t>
  </si>
  <si>
    <t>备注</t>
  </si>
  <si>
    <r>
      <rPr>
        <b/>
        <sz val="10"/>
        <rFont val="Arial"/>
        <charset val="1"/>
      </rPr>
      <t xml:space="preserve">TP0
</t>
    </r>
    <r>
      <rPr>
        <b/>
        <sz val="10"/>
        <rFont val="Noto Sans CJK SC"/>
        <charset val="134"/>
      </rPr>
      <t>空载</t>
    </r>
  </si>
  <si>
    <t>全断开</t>
  </si>
  <si>
    <t>平均值</t>
  </si>
  <si>
    <t>B1:R7</t>
  </si>
  <si>
    <t>在低负载工况（&lt;15W）下，由于电流采样分辨率限制（0.01A），电流和功率的相对误差较大（&gt;10%）；</t>
  </si>
  <si>
    <t>B1:R9</t>
  </si>
  <si>
    <r>
      <rPr>
        <sz val="10"/>
        <rFont val="Arial"/>
        <charset val="1"/>
      </rPr>
      <t>B1:</t>
    </r>
    <r>
      <rPr>
        <sz val="10"/>
        <rFont val="Noto Sans CJK SC"/>
        <charset val="134"/>
      </rPr>
      <t>全部</t>
    </r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</si>
  <si>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+B2:R9</t>
    </r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</si>
  <si>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+B2</t>
    </r>
    <r>
      <rPr>
        <sz val="10"/>
        <rFont val="Noto Sans CJK SC"/>
        <charset val="134"/>
      </rPr>
      <t>全</t>
    </r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</si>
  <si>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+B2</t>
    </r>
    <r>
      <rPr>
        <sz val="10"/>
        <rFont val="Noto Sans CJK SC"/>
        <charset val="134"/>
      </rPr>
      <t xml:space="preserve">全
</t>
    </r>
    <r>
      <rPr>
        <sz val="10"/>
        <rFont val="Arial"/>
        <charset val="1"/>
      </rPr>
      <t>+B3:R9</t>
    </r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</si>
  <si>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+B2</t>
    </r>
    <r>
      <rPr>
        <sz val="10"/>
        <rFont val="Noto Sans CJK SC"/>
        <charset val="134"/>
      </rPr>
      <t xml:space="preserve">全
</t>
    </r>
    <r>
      <rPr>
        <sz val="10"/>
        <rFont val="Arial"/>
        <charset val="1"/>
      </rPr>
      <t>+B3:R8+R9</t>
    </r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</si>
  <si>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>组全开</t>
    </r>
  </si>
  <si>
    <t>B1:R8+B2:R7</t>
  </si>
  <si>
    <t>精度汇总（基于各测试点平均值，排除空载）</t>
  </si>
  <si>
    <t>指标</t>
  </si>
  <si>
    <t>电压 (%)</t>
  </si>
  <si>
    <t>电流 (%)</t>
  </si>
  <si>
    <t>功率 (%)</t>
  </si>
  <si>
    <t>平均误差</t>
  </si>
  <si>
    <t>最大误差</t>
  </si>
  <si>
    <t>最小误差</t>
  </si>
  <si>
    <t>判定（&lt;5% 合格）</t>
  </si>
  <si>
    <t>额定工作范围精度汇总（TP2~TP8，&gt;50W，排除极小负载）</t>
  </si>
  <si>
    <t>分析：在极小负载（TP1: 13W, TP9: 39W）下，由于电流采样分辨率为0.01A，当实际电流仅0.054A时，0.006A的绝对误差导致11%的相对误差。在系统额定工作范围（&gt;50W）内，所有参数误差均低于2.5%，满足光伏监控精度要求。</t>
  </si>
  <si>
    <t>动态响应测试记录表</t>
  </si>
  <si>
    <t>测试方法：快速切换电阻开关，记录功率变化时刻和系统各环节响应时间</t>
  </si>
  <si>
    <t>计时方法：Grafana 面板时间戳对比 + 手机秒表辅助</t>
  </si>
  <si>
    <t>测试
编号</t>
  </si>
  <si>
    <t>切换操作
（从 → 到）</t>
  </si>
  <si>
    <t>预期功率变化
(W → W)</t>
  </si>
  <si>
    <t>切换时刻
(hh:mm:ss)</t>
  </si>
  <si>
    <r>
      <rPr>
        <b/>
        <sz val="10"/>
        <rFont val="Arial"/>
        <charset val="1"/>
      </rPr>
      <t xml:space="preserve">STM32 LCD
</t>
    </r>
    <r>
      <rPr>
        <b/>
        <sz val="10"/>
        <rFont val="Noto Sans CJK SC"/>
        <charset val="134"/>
      </rPr>
      <t>响应时间</t>
    </r>
    <r>
      <rPr>
        <b/>
        <sz val="10"/>
        <rFont val="Arial"/>
        <charset val="1"/>
      </rPr>
      <t>(s)</t>
    </r>
  </si>
  <si>
    <r>
      <rPr>
        <b/>
        <sz val="10"/>
        <rFont val="Arial"/>
        <charset val="1"/>
      </rPr>
      <t xml:space="preserve">Grafana
</t>
    </r>
    <r>
      <rPr>
        <b/>
        <sz val="10"/>
        <rFont val="Noto Sans CJK SC"/>
        <charset val="134"/>
      </rPr>
      <t>响应时间</t>
    </r>
    <r>
      <rPr>
        <b/>
        <sz val="10"/>
        <rFont val="Arial"/>
        <charset val="1"/>
      </rPr>
      <t>(s)</t>
    </r>
  </si>
  <si>
    <t>实际功率变化
(W → W)</t>
  </si>
  <si>
    <t>实际电流变化
(A → A)</t>
  </si>
  <si>
    <t>D1</t>
  </si>
  <si>
    <t>空载 → B1:R9
(突加负载)</t>
  </si>
  <si>
    <t>0 → ~52</t>
  </si>
  <si>
    <t>0 → ~52.5</t>
  </si>
  <si>
    <t>0 → ~0.22</t>
  </si>
  <si>
    <t>单电阻突加</t>
  </si>
  <si>
    <t>D2</t>
  </si>
  <si>
    <r>
      <rPr>
        <sz val="10"/>
        <rFont val="Arial"/>
        <charset val="1"/>
      </rPr>
      <t>B1:R9 → B1</t>
    </r>
    <r>
      <rPr>
        <sz val="10"/>
        <rFont val="Noto Sans CJK SC"/>
        <charset val="134"/>
      </rPr>
      <t xml:space="preserve">全
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增加负载</t>
    </r>
    <r>
      <rPr>
        <sz val="10"/>
        <rFont val="Arial"/>
        <charset val="1"/>
      </rPr>
      <t>)</t>
    </r>
  </si>
  <si>
    <t>~52 → ~92</t>
  </si>
  <si>
    <t>25.5→91.1</t>
  </si>
  <si>
    <t>0.22 → 0.38</t>
  </si>
  <si>
    <t>组内增加</t>
  </si>
  <si>
    <t>D3</t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</si>
  <si>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 xml:space="preserve">全 → </t>
    </r>
    <r>
      <rPr>
        <sz val="10"/>
        <rFont val="Arial"/>
        <charset val="1"/>
      </rPr>
      <t>B1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+B2</t>
    </r>
    <r>
      <rPr>
        <sz val="10"/>
        <rFont val="Noto Sans CJK SC"/>
        <charset val="134"/>
      </rPr>
      <t xml:space="preserve">全
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倍增负载</t>
    </r>
    <r>
      <rPr>
        <sz val="10"/>
        <rFont val="Arial"/>
        <charset val="1"/>
      </rPr>
      <t>)</t>
    </r>
  </si>
  <si>
    <t>~92 → ~183</t>
  </si>
  <si>
    <t>91.1→181.4</t>
  </si>
  <si>
    <t>0.38→0.76</t>
  </si>
  <si>
    <t>翻倍负载</t>
  </si>
  <si>
    <t>D4</t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</si>
  <si>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+B2</t>
    </r>
    <r>
      <rPr>
        <sz val="10"/>
        <rFont val="Noto Sans CJK SC"/>
        <charset val="134"/>
      </rPr>
      <t xml:space="preserve">全 → 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 xml:space="preserve">组全开
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加至满载</t>
    </r>
    <r>
      <rPr>
        <sz val="10"/>
        <rFont val="Arial"/>
        <charset val="1"/>
      </rPr>
      <t>)</t>
    </r>
  </si>
  <si>
    <t>~183 → ~275</t>
  </si>
  <si>
    <t>181.4→271.5</t>
  </si>
  <si>
    <t>0.76→1.13</t>
  </si>
  <si>
    <t>满载</t>
  </si>
  <si>
    <t>D5</t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</si>
  <si>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 xml:space="preserve">组全开 → </t>
    </r>
    <r>
      <rPr>
        <sz val="10"/>
        <rFont val="Arial"/>
        <charset val="1"/>
      </rPr>
      <t>B1</t>
    </r>
    <r>
      <rPr>
        <sz val="10"/>
        <rFont val="Noto Sans CJK SC"/>
        <charset val="134"/>
      </rPr>
      <t xml:space="preserve">全
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大幅减载</t>
    </r>
    <r>
      <rPr>
        <sz val="10"/>
        <rFont val="Arial"/>
        <charset val="1"/>
      </rPr>
      <t>)</t>
    </r>
  </si>
  <si>
    <t>~275 → ~92</t>
  </si>
  <si>
    <t>271.5→91.1</t>
  </si>
  <si>
    <t>1.13→0.38</t>
  </si>
  <si>
    <t>大幅突卸</t>
  </si>
  <si>
    <t>D6</t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</si>
  <si>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 xml:space="preserve">全 → 空载
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完全卸载</t>
    </r>
    <r>
      <rPr>
        <sz val="10"/>
        <rFont val="Arial"/>
        <charset val="1"/>
      </rPr>
      <t>)</t>
    </r>
  </si>
  <si>
    <t>~92 → 0</t>
  </si>
  <si>
    <t>91.1→0</t>
  </si>
  <si>
    <t>0.38→0</t>
  </si>
  <si>
    <t>完全卸载</t>
  </si>
  <si>
    <t>D7</t>
  </si>
  <si>
    <t>空载 → 3组全开
(冷启动满载)</t>
  </si>
  <si>
    <t>0 → ~275</t>
  </si>
  <si>
    <t>0→271.1</t>
  </si>
  <si>
    <t>0→1.13</t>
  </si>
  <si>
    <t>最大阶跃</t>
  </si>
  <si>
    <t>D8</t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</si>
  <si>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 xml:space="preserve">组全开 → 空载
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满载突卸</t>
    </r>
    <r>
      <rPr>
        <sz val="10"/>
        <rFont val="Arial"/>
        <charset val="1"/>
      </rPr>
      <t>)</t>
    </r>
  </si>
  <si>
    <t>~275 → 0</t>
  </si>
  <si>
    <t>271.1→0</t>
  </si>
  <si>
    <t>1.13→0</t>
  </si>
  <si>
    <t>D9</t>
  </si>
  <si>
    <r>
      <rPr>
        <sz val="10"/>
        <rFont val="Arial"/>
        <charset val="1"/>
      </rPr>
      <t>B1:R8 → B1:R7+R9
(</t>
    </r>
    <r>
      <rPr>
        <sz val="10"/>
        <rFont val="Noto Sans CJK SC"/>
        <charset val="134"/>
      </rPr>
      <t>组内快切</t>
    </r>
    <r>
      <rPr>
        <sz val="10"/>
        <rFont val="Arial"/>
        <charset val="1"/>
      </rPr>
      <t>)</t>
    </r>
  </si>
  <si>
    <t>~26 → ~65</t>
  </si>
  <si>
    <t>27.1→64.9</t>
  </si>
  <si>
    <t>0.11→0.27</t>
  </si>
  <si>
    <t>快速切换</t>
  </si>
  <si>
    <t>D10</t>
  </si>
  <si>
    <t>远程分闸(ON→OFF)</t>
  </si>
  <si>
    <t>有功率 → 0</t>
  </si>
  <si>
    <t>64.6→0</t>
  </si>
  <si>
    <t>0.27→0</t>
  </si>
  <si>
    <t>远程控制</t>
  </si>
  <si>
    <t>D11</t>
  </si>
  <si>
    <t>远程合闸(OFF→ON)</t>
  </si>
  <si>
    <r>
      <rPr>
        <sz val="10"/>
        <rFont val="Arial"/>
        <charset val="1"/>
      </rPr>
      <t xml:space="preserve">0 → </t>
    </r>
    <r>
      <rPr>
        <sz val="10"/>
        <rFont val="Noto Sans CJK SC"/>
        <charset val="134"/>
      </rPr>
      <t>恢复</t>
    </r>
  </si>
  <si>
    <t>0→64.6</t>
  </si>
  <si>
    <t>0→0.27</t>
  </si>
  <si>
    <t>重复测试（选择 3 个关键场景各重复 3 次）</t>
  </si>
  <si>
    <t>测试编号</t>
  </si>
  <si>
    <t>场景</t>
  </si>
  <si>
    <t>第1次
STM32(s)</t>
  </si>
  <si>
    <t>第1次
Grafana(s)</t>
  </si>
  <si>
    <t>第2次
STM32(s)</t>
  </si>
  <si>
    <t>第2次
Grafana(s)</t>
  </si>
  <si>
    <t>第3次
STM32(s)</t>
  </si>
  <si>
    <t>第3次
Grafana(s)</t>
  </si>
  <si>
    <t>平均
Grafana(s)</t>
  </si>
  <si>
    <t>R1</t>
  </si>
  <si>
    <t>空载→B1:R9</t>
  </si>
  <si>
    <t>R2</t>
  </si>
  <si>
    <t>空载→3组全开</t>
  </si>
  <si>
    <t>R3</t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</si>
  <si>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>组全开→空载</t>
    </r>
  </si>
  <si>
    <t>响应时间汇总</t>
  </si>
  <si>
    <t>STM32 LCD (s)</t>
  </si>
  <si>
    <t>Grafana (s)</t>
  </si>
  <si>
    <t>平均响应时间</t>
  </si>
  <si>
    <t>最大响应时间</t>
  </si>
  <si>
    <t>最小响应时间</t>
  </si>
  <si>
    <t>远程控制分闸</t>
  </si>
  <si>
    <t>远程控制合闸</t>
  </si>
  <si>
    <t>端到端延迟(MQTT→Grafana)</t>
  </si>
  <si>
    <t>-</t>
  </si>
  <si>
    <t>远程控制（分闸/合闸）测试记录表</t>
  </si>
  <si>
    <t>测试方法：Node-RED Dashboard (localhost:1880/ui) 发送 ON/OFF 命令 → MQTT → A7670E → STM32 → Zigbee → Breaker</t>
  </si>
  <si>
    <t>负载条件</t>
  </si>
  <si>
    <t>命令</t>
  </si>
  <si>
    <t>发送时刻
(hh:mm:ss)</t>
  </si>
  <si>
    <t>断路器动作
时刻(hh:mm:ss)</t>
  </si>
  <si>
    <t>响应时间
(s)</t>
  </si>
  <si>
    <r>
      <rPr>
        <b/>
        <sz val="10"/>
        <rFont val="Arial"/>
        <charset val="1"/>
      </rPr>
      <t>Grafana</t>
    </r>
    <r>
      <rPr>
        <b/>
        <sz val="10"/>
        <rFont val="Noto Sans CJK SC"/>
        <charset val="134"/>
      </rPr>
      <t>状态
更新</t>
    </r>
    <r>
      <rPr>
        <b/>
        <sz val="10"/>
        <rFont val="Arial"/>
        <charset val="1"/>
      </rPr>
      <t>(s)</t>
    </r>
  </si>
  <si>
    <t>C1</t>
  </si>
  <si>
    <t>空载</t>
  </si>
  <si>
    <r>
      <rPr>
        <sz val="10"/>
        <rFont val="Arial"/>
        <charset val="1"/>
      </rPr>
      <t xml:space="preserve">OFF </t>
    </r>
    <r>
      <rPr>
        <sz val="10"/>
        <rFont val="Noto Sans CJK SC"/>
        <charset val="134"/>
      </rPr>
      <t>分闸</t>
    </r>
  </si>
  <si>
    <t>观察断路器动作</t>
  </si>
  <si>
    <t>C2</t>
  </si>
  <si>
    <r>
      <rPr>
        <sz val="10"/>
        <rFont val="Arial"/>
        <charset val="1"/>
      </rPr>
      <t xml:space="preserve">ON </t>
    </r>
    <r>
      <rPr>
        <sz val="10"/>
        <rFont val="Noto Sans CJK SC"/>
        <charset val="134"/>
      </rPr>
      <t>合闸</t>
    </r>
  </si>
  <si>
    <t>C3</t>
  </si>
  <si>
    <t>第2次，验证一致性</t>
  </si>
  <si>
    <t>C4</t>
  </si>
  <si>
    <t>第2次</t>
  </si>
  <si>
    <t>C5</t>
  </si>
  <si>
    <r>
      <rPr>
        <sz val="10"/>
        <rFont val="Arial"/>
        <charset val="1"/>
      </rPr>
      <t>B1</t>
    </r>
    <r>
      <rPr>
        <sz val="10"/>
        <rFont val="Noto Sans CJK SC"/>
        <charset val="134"/>
      </rPr>
      <t>全</t>
    </r>
    <r>
      <rPr>
        <sz val="10"/>
        <rFont val="Arial"/>
        <charset val="1"/>
      </rPr>
      <t>(~92W)</t>
    </r>
  </si>
  <si>
    <t>带负载分闸，观察电弧</t>
  </si>
  <si>
    <t>C6</t>
  </si>
  <si>
    <t>带负载合闸</t>
  </si>
  <si>
    <t>C7</t>
  </si>
  <si>
    <r>
      <rPr>
        <sz val="10"/>
        <rFont val="Arial"/>
        <charset val="1"/>
      </rPr>
      <t>2</t>
    </r>
    <r>
      <rPr>
        <sz val="10"/>
        <rFont val="Noto Sans CJK SC"/>
        <charset val="134"/>
      </rPr>
      <t>组全</t>
    </r>
    <r>
      <rPr>
        <sz val="10"/>
        <rFont val="Arial"/>
        <charset val="1"/>
      </rPr>
      <t>(~183W)</t>
    </r>
  </si>
  <si>
    <t>大负载分闸</t>
  </si>
  <si>
    <t>C8</t>
  </si>
  <si>
    <t>大负载合闸</t>
  </si>
  <si>
    <t>C9</t>
  </si>
  <si>
    <r>
      <rPr>
        <sz val="10"/>
        <rFont val="Arial"/>
        <charset val="1"/>
      </rPr>
      <t xml:space="preserve">OFF→ON </t>
    </r>
    <r>
      <rPr>
        <sz val="10"/>
        <rFont val="Noto Sans CJK SC"/>
        <charset val="134"/>
      </rPr>
      <t>快速</t>
    </r>
  </si>
  <si>
    <t>间隔&lt;1s，约4/5次正常响应，偶发命令丢失</t>
  </si>
  <si>
    <t>C10</t>
  </si>
  <si>
    <r>
      <rPr>
        <sz val="10"/>
        <rFont val="Arial"/>
        <charset val="1"/>
      </rPr>
      <t xml:space="preserve">ON→OFF </t>
    </r>
    <r>
      <rPr>
        <sz val="10"/>
        <rFont val="Noto Sans CJK SC"/>
        <charset val="134"/>
      </rPr>
      <t>快速</t>
    </r>
  </si>
  <si>
    <t>远程控制汇总</t>
  </si>
  <si>
    <t>带负载</t>
  </si>
  <si>
    <t>平均分闸响应 (s)</t>
  </si>
  <si>
    <t>平均合闸响应 (s)</t>
  </si>
  <si>
    <r>
      <rPr>
        <sz val="10"/>
        <rFont val="Arial"/>
        <charset val="1"/>
      </rPr>
      <t xml:space="preserve">Grafana </t>
    </r>
    <r>
      <rPr>
        <sz val="10"/>
        <rFont val="Noto Sans CJK SC"/>
        <charset val="134"/>
      </rPr>
      <t xml:space="preserve">状态更新 </t>
    </r>
    <r>
      <rPr>
        <sz val="10"/>
        <rFont val="Arial"/>
        <charset val="1"/>
      </rPr>
      <t>(s)</t>
    </r>
  </si>
  <si>
    <t>连续操作是否正常</t>
  </si>
  <si>
    <t>约80%成功率</t>
  </si>
  <si>
    <t>实验室测试操作指南</t>
  </si>
  <si>
    <t>设备清单</t>
  </si>
  <si>
    <r>
      <rPr>
        <sz val="10"/>
        <rFont val="Arial"/>
        <charset val="1"/>
      </rPr>
      <t xml:space="preserve">STM32WB5MM </t>
    </r>
    <r>
      <rPr>
        <sz val="10"/>
        <rFont val="Noto Sans CJK SC"/>
        <charset val="134"/>
      </rPr>
      <t xml:space="preserve">开发板 </t>
    </r>
    <r>
      <rPr>
        <sz val="10"/>
        <rFont val="Arial"/>
        <charset val="1"/>
      </rPr>
      <t xml:space="preserve">+ A7670E 4G </t>
    </r>
    <r>
      <rPr>
        <sz val="10"/>
        <rFont val="Noto Sans CJK SC"/>
        <charset val="134"/>
      </rPr>
      <t>模块</t>
    </r>
  </si>
  <si>
    <r>
      <rPr>
        <sz val="10"/>
        <rFont val="Arial"/>
        <charset val="1"/>
      </rPr>
      <t xml:space="preserve">TOWSMR1-40 Zigbee </t>
    </r>
    <r>
      <rPr>
        <sz val="10"/>
        <rFont val="Noto Sans CJK SC"/>
        <charset val="134"/>
      </rPr>
      <t>智能断路器</t>
    </r>
  </si>
  <si>
    <r>
      <rPr>
        <sz val="10"/>
        <rFont val="Arial"/>
        <charset val="1"/>
      </rPr>
      <t xml:space="preserve">3× FESTO Bank 3 </t>
    </r>
    <r>
      <rPr>
        <sz val="10"/>
        <rFont val="Noto Sans CJK SC"/>
        <charset val="134"/>
      </rPr>
      <t xml:space="preserve">电阻箱 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 xml:space="preserve">各含 </t>
    </r>
    <r>
      <rPr>
        <sz val="10"/>
        <rFont val="Arial"/>
        <charset val="1"/>
      </rPr>
      <t>R7=4400Ω, R8=2200Ω, R9=1100Ω)</t>
    </r>
  </si>
  <si>
    <r>
      <rPr>
        <sz val="10"/>
        <rFont val="Arial"/>
        <charset val="1"/>
      </rPr>
      <t xml:space="preserve">Fluke </t>
    </r>
    <r>
      <rPr>
        <sz val="10"/>
        <rFont val="Noto Sans CJK SC"/>
        <charset val="134"/>
      </rPr>
      <t xml:space="preserve">万用表（电压档 </t>
    </r>
    <r>
      <rPr>
        <sz val="10"/>
        <rFont val="Arial"/>
        <charset val="1"/>
      </rPr>
      <t xml:space="preserve">+ </t>
    </r>
    <r>
      <rPr>
        <sz val="10"/>
        <rFont val="Noto Sans CJK SC"/>
        <charset val="134"/>
      </rPr>
      <t>电流档各一台，或一台分两次测）</t>
    </r>
  </si>
  <si>
    <t>笔记本电脑（运行 Docker: Node-RED + InfluxDB + Grafana + PostgreSQL）</t>
  </si>
  <si>
    <t>手机（秒表 App）</t>
  </si>
  <si>
    <t>实验前检查</t>
  </si>
  <si>
    <t>1</t>
  </si>
  <si>
    <r>
      <rPr>
        <sz val="10"/>
        <rFont val="Arial"/>
        <charset val="1"/>
      </rPr>
      <t xml:space="preserve">Docker </t>
    </r>
    <r>
      <rPr>
        <sz val="10"/>
        <rFont val="Noto Sans CJK SC"/>
        <charset val="134"/>
      </rPr>
      <t>容器全部运行：</t>
    </r>
    <r>
      <rPr>
        <sz val="10"/>
        <rFont val="Arial"/>
        <charset val="1"/>
      </rPr>
      <t xml:space="preserve">docker ps </t>
    </r>
    <r>
      <rPr>
        <sz val="10"/>
        <rFont val="Noto Sans CJK SC"/>
        <charset val="134"/>
      </rPr>
      <t xml:space="preserve">确认 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个容器正常</t>
    </r>
  </si>
  <si>
    <t>2</t>
  </si>
  <si>
    <r>
      <rPr>
        <sz val="10"/>
        <rFont val="Arial"/>
        <charset val="1"/>
      </rPr>
      <t xml:space="preserve">STM32 </t>
    </r>
    <r>
      <rPr>
        <sz val="10"/>
        <rFont val="Noto Sans CJK SC"/>
        <charset val="134"/>
      </rPr>
      <t>上电，</t>
    </r>
    <r>
      <rPr>
        <sz val="10"/>
        <rFont val="Arial"/>
        <charset val="1"/>
      </rPr>
      <t xml:space="preserve">LCD </t>
    </r>
    <r>
      <rPr>
        <sz val="10"/>
        <rFont val="Noto Sans CJK SC"/>
        <charset val="134"/>
      </rPr>
      <t>显示数据，</t>
    </r>
    <r>
      <rPr>
        <sz val="10"/>
        <rFont val="Arial"/>
        <charset val="1"/>
      </rPr>
      <t xml:space="preserve">Zigbee </t>
    </r>
    <r>
      <rPr>
        <sz val="10"/>
        <rFont val="Noto Sans CJK SC"/>
        <charset val="134"/>
      </rPr>
      <t>配对成功</t>
    </r>
  </si>
  <si>
    <t>3</t>
  </si>
  <si>
    <r>
      <rPr>
        <sz val="10"/>
        <rFont val="Arial"/>
        <charset val="1"/>
      </rPr>
      <t xml:space="preserve">Node-RED (localhost:1880) </t>
    </r>
    <r>
      <rPr>
        <sz val="10"/>
        <rFont val="Noto Sans CJK SC"/>
        <charset val="134"/>
      </rPr>
      <t xml:space="preserve">能收到 </t>
    </r>
    <r>
      <rPr>
        <sz val="10"/>
        <rFont val="Arial"/>
        <charset val="1"/>
      </rPr>
      <t xml:space="preserve">device_001 </t>
    </r>
    <r>
      <rPr>
        <sz val="10"/>
        <rFont val="Noto Sans CJK SC"/>
        <charset val="134"/>
      </rPr>
      <t xml:space="preserve">的 </t>
    </r>
    <r>
      <rPr>
        <sz val="10"/>
        <rFont val="Arial"/>
        <charset val="1"/>
      </rPr>
      <t xml:space="preserve">MQTT </t>
    </r>
    <r>
      <rPr>
        <sz val="10"/>
        <rFont val="Noto Sans CJK SC"/>
        <charset val="134"/>
      </rPr>
      <t>数据</t>
    </r>
  </si>
  <si>
    <t>4</t>
  </si>
  <si>
    <r>
      <rPr>
        <sz val="10"/>
        <rFont val="Arial"/>
        <charset val="1"/>
      </rPr>
      <t xml:space="preserve">Grafana (localhost:3000) </t>
    </r>
    <r>
      <rPr>
        <sz val="10"/>
        <rFont val="Noto Sans CJK SC"/>
        <charset val="134"/>
      </rPr>
      <t xml:space="preserve">选择 </t>
    </r>
    <r>
      <rPr>
        <sz val="10"/>
        <rFont val="Arial"/>
        <charset val="1"/>
      </rPr>
      <t xml:space="preserve">device_001 </t>
    </r>
    <r>
      <rPr>
        <sz val="10"/>
        <rFont val="Noto Sans CJK SC"/>
        <charset val="134"/>
      </rPr>
      <t>有实时数据</t>
    </r>
  </si>
  <si>
    <t>5</t>
  </si>
  <si>
    <r>
      <rPr>
        <sz val="10"/>
        <rFont val="Arial"/>
        <charset val="1"/>
      </rPr>
      <t xml:space="preserve">Fluke </t>
    </r>
    <r>
      <rPr>
        <sz val="10"/>
        <rFont val="Noto Sans CJK SC"/>
        <charset val="134"/>
      </rPr>
      <t>万用表电池充足，档位正确</t>
    </r>
  </si>
  <si>
    <t>接线方式</t>
  </si>
  <si>
    <t>电源侧</t>
  </si>
  <si>
    <r>
      <rPr>
        <sz val="10"/>
        <rFont val="Arial"/>
        <charset val="1"/>
      </rPr>
      <t xml:space="preserve">240V AC </t>
    </r>
    <r>
      <rPr>
        <sz val="10"/>
        <rFont val="Noto Sans CJK SC"/>
        <charset val="134"/>
      </rPr>
      <t xml:space="preserve">壁插 → 智能断路器 </t>
    </r>
    <r>
      <rPr>
        <sz val="10"/>
        <rFont val="Arial"/>
        <charset val="1"/>
      </rPr>
      <t xml:space="preserve">TOWSMR1-40 (Line </t>
    </r>
    <r>
      <rPr>
        <sz val="10"/>
        <rFont val="Noto Sans CJK SC"/>
        <charset val="134"/>
      </rPr>
      <t>侧</t>
    </r>
    <r>
      <rPr>
        <sz val="10"/>
        <rFont val="Arial"/>
        <charset val="1"/>
      </rPr>
      <t>)</t>
    </r>
  </si>
  <si>
    <t>负载侧</t>
  </si>
  <si>
    <t>断路器 (Load 侧) → FESTO Bank 3 端子 5 (输入)</t>
  </si>
  <si>
    <t>负载回路</t>
  </si>
  <si>
    <r>
      <rPr>
        <sz val="10"/>
        <rFont val="Arial"/>
        <charset val="1"/>
      </rPr>
      <t xml:space="preserve">Bank 3 </t>
    </r>
    <r>
      <rPr>
        <sz val="10"/>
        <rFont val="Noto Sans CJK SC"/>
        <charset val="134"/>
      </rPr>
      <t xml:space="preserve">端子 </t>
    </r>
    <r>
      <rPr>
        <sz val="10"/>
        <rFont val="Arial"/>
        <charset val="1"/>
      </rPr>
      <t>6 (</t>
    </r>
    <r>
      <rPr>
        <sz val="10"/>
        <rFont val="Noto Sans CJK SC"/>
        <charset val="134"/>
      </rPr>
      <t>输出</t>
    </r>
    <r>
      <rPr>
        <sz val="10"/>
        <rFont val="Arial"/>
        <charset val="1"/>
      </rPr>
      <t xml:space="preserve">) → AC </t>
    </r>
    <r>
      <rPr>
        <sz val="10"/>
        <rFont val="Noto Sans CJK SC"/>
        <charset val="134"/>
      </rPr>
      <t>回线（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组</t>
    </r>
    <r>
      <rPr>
        <sz val="10"/>
        <rFont val="Arial"/>
        <charset val="1"/>
      </rPr>
      <t>Bank</t>
    </r>
    <r>
      <rPr>
        <sz val="10"/>
        <rFont val="Noto Sans CJK SC"/>
        <charset val="134"/>
      </rPr>
      <t>并联接在同一对端子）</t>
    </r>
  </si>
  <si>
    <r>
      <rPr>
        <sz val="10"/>
        <rFont val="Arial"/>
        <charset val="1"/>
      </rPr>
      <t xml:space="preserve">Fluke </t>
    </r>
    <r>
      <rPr>
        <sz val="10"/>
        <rFont val="Noto Sans CJK SC"/>
        <charset val="134"/>
      </rPr>
      <t>电压</t>
    </r>
  </si>
  <si>
    <t>并联在断路器 Load 侧两端（或 Bank 端子 5-6）</t>
  </si>
  <si>
    <r>
      <rPr>
        <sz val="10"/>
        <rFont val="Arial"/>
        <charset val="1"/>
      </rPr>
      <t xml:space="preserve">Fluke </t>
    </r>
    <r>
      <rPr>
        <sz val="10"/>
        <rFont val="Noto Sans CJK SC"/>
        <charset val="134"/>
      </rPr>
      <t>电流</t>
    </r>
  </si>
  <si>
    <t>串联在断路器 Load → Bank 输入之间（断开一根线串入）</t>
  </si>
  <si>
    <t>测试一：稳态精度（约 40 分钟）</t>
  </si>
  <si>
    <t>断开所有电阻开关，记录空载电压</t>
  </si>
  <si>
    <t>按测试点表顺序逐步闭合开关（TP1→TP9）</t>
  </si>
  <si>
    <t>每个测试点等 30 秒稳定，然后同时读取：</t>
  </si>
  <si>
    <r>
      <rPr>
        <sz val="10"/>
        <rFont val="Arial"/>
        <charset val="1"/>
      </rPr>
      <t xml:space="preserve">   a) Fluke </t>
    </r>
    <r>
      <rPr>
        <sz val="10"/>
        <rFont val="Noto Sans CJK SC"/>
        <charset val="134"/>
      </rPr>
      <t>电压表读数</t>
    </r>
  </si>
  <si>
    <r>
      <rPr>
        <sz val="10"/>
        <rFont val="Arial"/>
        <charset val="1"/>
      </rPr>
      <t xml:space="preserve">   b) Fluke </t>
    </r>
    <r>
      <rPr>
        <sz val="10"/>
        <rFont val="Noto Sans CJK SC"/>
        <charset val="134"/>
      </rPr>
      <t xml:space="preserve">电流表读数（功率 </t>
    </r>
    <r>
      <rPr>
        <sz val="10"/>
        <rFont val="Arial"/>
        <charset val="1"/>
      </rPr>
      <t xml:space="preserve">= V × I </t>
    </r>
    <r>
      <rPr>
        <sz val="10"/>
        <rFont val="Noto Sans CJK SC"/>
        <charset val="134"/>
      </rPr>
      <t>手算或用</t>
    </r>
    <r>
      <rPr>
        <sz val="10"/>
        <rFont val="Arial"/>
        <charset val="1"/>
      </rPr>
      <t>Fluke</t>
    </r>
    <r>
      <rPr>
        <sz val="10"/>
        <rFont val="Noto Sans CJK SC"/>
        <charset val="134"/>
      </rPr>
      <t>功率档）</t>
    </r>
  </si>
  <si>
    <r>
      <rPr>
        <sz val="10"/>
        <rFont val="Arial"/>
        <charset val="1"/>
      </rPr>
      <t xml:space="preserve">   c) Grafana </t>
    </r>
    <r>
      <rPr>
        <sz val="10"/>
        <rFont val="Noto Sans CJK SC"/>
        <charset val="134"/>
      </rPr>
      <t xml:space="preserve">面板上的 </t>
    </r>
    <r>
      <rPr>
        <sz val="10"/>
        <rFont val="Arial"/>
        <charset val="1"/>
      </rPr>
      <t>voltage / current / power</t>
    </r>
  </si>
  <si>
    <r>
      <rPr>
        <sz val="10"/>
        <rFont val="Arial"/>
        <charset val="1"/>
      </rPr>
      <t xml:space="preserve">   d) STM32 LCD </t>
    </r>
    <r>
      <rPr>
        <sz val="10"/>
        <rFont val="Noto Sans CJK SC"/>
        <charset val="134"/>
      </rPr>
      <t xml:space="preserve">上显示的 </t>
    </r>
    <r>
      <rPr>
        <sz val="10"/>
        <rFont val="Arial"/>
        <charset val="1"/>
      </rPr>
      <t>voltage / current / power</t>
    </r>
  </si>
  <si>
    <t>每个点重复 3 次，在黄色格中填写数据</t>
  </si>
  <si>
    <t>误差自动计算，完成后检查汇总表</t>
  </si>
  <si>
    <t>测试二：动态响应（约 20 分钟）</t>
  </si>
  <si>
    <r>
      <rPr>
        <sz val="10"/>
        <rFont val="Arial"/>
        <charset val="1"/>
      </rPr>
      <t xml:space="preserve">Grafana </t>
    </r>
    <r>
      <rPr>
        <sz val="10"/>
        <rFont val="Noto Sans CJK SC"/>
        <charset val="134"/>
      </rPr>
      <t xml:space="preserve">设置为 </t>
    </r>
    <r>
      <rPr>
        <sz val="10"/>
        <rFont val="Arial"/>
        <charset val="1"/>
      </rPr>
      <t xml:space="preserve">Last 5 minutes + 5s </t>
    </r>
    <r>
      <rPr>
        <sz val="10"/>
        <rFont val="Noto Sans CJK SC"/>
        <charset val="134"/>
      </rPr>
      <t>自动刷新</t>
    </r>
  </si>
  <si>
    <t>按场景表快速切换开关，同时启动手机秒表</t>
  </si>
  <si>
    <t>观察 STM32 LCD 何时变化（秒表记录）</t>
  </si>
  <si>
    <t>观察 Grafana 何时变化（秒表记录，或看面板时间戳）</t>
  </si>
  <si>
    <t>重点场景重复 3 次取平均</t>
  </si>
  <si>
    <t>测试三：远程控制（约 15 分钟）</t>
  </si>
  <si>
    <t>打开 Node-RED Dashboard (localhost:1880/ui)</t>
  </si>
  <si>
    <t>选择 device_001，点击 OFF 按钮</t>
  </si>
  <si>
    <t>听/看断路器动作声音/指示灯，秒表记录响应时间</t>
  </si>
  <si>
    <t>观察 Grafana status 面板何时更新</t>
  </si>
  <si>
    <t>分别在空载和带负载条件下测试</t>
  </si>
  <si>
    <t>6</t>
  </si>
  <si>
    <t>测试快速连续操作（OFF→ON→OFF）</t>
  </si>
  <si>
    <t>安全注意事项</t>
  </si>
  <si>
    <t>⚠️</t>
  </si>
  <si>
    <r>
      <rPr>
        <sz val="10"/>
        <color rgb="FFFF0000"/>
        <rFont val="Arial"/>
        <charset val="1"/>
      </rPr>
      <t xml:space="preserve">240V </t>
    </r>
    <r>
      <rPr>
        <sz val="10"/>
        <color rgb="FFFF0000"/>
        <rFont val="Noto Sans CJK SC"/>
        <charset val="134"/>
      </rPr>
      <t>交流电有触电危险！切勿触摸裸露导体和接线端子</t>
    </r>
  </si>
  <si>
    <t>每次改变接线前必须断开电源总开关</t>
  </si>
  <si>
    <r>
      <rPr>
        <sz val="10"/>
        <color rgb="FFFF0000"/>
        <rFont val="Arial"/>
        <charset val="1"/>
      </rPr>
      <t>3</t>
    </r>
    <r>
      <rPr>
        <sz val="10"/>
        <color rgb="FFFF0000"/>
        <rFont val="Noto Sans CJK SC"/>
        <charset val="134"/>
      </rPr>
      <t>组</t>
    </r>
    <r>
      <rPr>
        <sz val="10"/>
        <color rgb="FFFF0000"/>
        <rFont val="Arial"/>
        <charset val="1"/>
      </rPr>
      <t>Bank</t>
    </r>
    <r>
      <rPr>
        <sz val="10"/>
        <color rgb="FFFF0000"/>
        <rFont val="Noto Sans CJK SC"/>
        <charset val="134"/>
      </rPr>
      <t>全开时总功率约</t>
    </r>
    <r>
      <rPr>
        <sz val="10"/>
        <color rgb="FFFF0000"/>
        <rFont val="Arial"/>
        <charset val="1"/>
      </rPr>
      <t>252W</t>
    </r>
    <r>
      <rPr>
        <sz val="10"/>
        <color rgb="FFFF0000"/>
        <rFont val="Noto Sans CJK SC"/>
        <charset val="134"/>
      </rPr>
      <t>，电阻会发热，避免长时间满载</t>
    </r>
  </si>
  <si>
    <r>
      <rPr>
        <sz val="10"/>
        <color rgb="FFFF0000"/>
        <rFont val="Arial"/>
        <charset val="1"/>
      </rPr>
      <t xml:space="preserve">Fluke </t>
    </r>
    <r>
      <rPr>
        <sz val="10"/>
        <color rgb="FFFF0000"/>
        <rFont val="Noto Sans CJK SC"/>
        <charset val="134"/>
      </rPr>
      <t>电流表串联接线时确保档位正确（</t>
    </r>
    <r>
      <rPr>
        <sz val="10"/>
        <color rgb="FFFF0000"/>
        <rFont val="Arial"/>
        <charset val="1"/>
      </rPr>
      <t>A</t>
    </r>
    <r>
      <rPr>
        <sz val="10"/>
        <color rgb="FFFF0000"/>
        <rFont val="Noto Sans CJK SC"/>
        <charset val="134"/>
      </rPr>
      <t>档，非</t>
    </r>
    <r>
      <rPr>
        <sz val="10"/>
        <color rgb="FFFF0000"/>
        <rFont val="Arial"/>
        <charset val="1"/>
      </rPr>
      <t>mA</t>
    </r>
    <r>
      <rPr>
        <sz val="10"/>
        <color rgb="FFFF0000"/>
        <rFont val="Noto Sans CJK SC"/>
        <charset val="134"/>
      </rPr>
      <t>档）</t>
    </r>
  </si>
  <si>
    <r>
      <rPr>
        <sz val="10"/>
        <color rgb="FFFF0000"/>
        <rFont val="Arial"/>
        <charset val="1"/>
      </rPr>
      <t xml:space="preserve">STM32 </t>
    </r>
    <r>
      <rPr>
        <sz val="10"/>
        <color rgb="FFFF0000"/>
        <rFont val="Noto Sans CJK SC"/>
        <charset val="134"/>
      </rPr>
      <t>断电后需重新配对断路器（</t>
    </r>
    <r>
      <rPr>
        <sz val="10"/>
        <color rgb="FFFF0000"/>
        <rFont val="Arial"/>
        <charset val="1"/>
      </rPr>
      <t xml:space="preserve">Zigbee </t>
    </r>
    <r>
      <rPr>
        <sz val="10"/>
        <color rgb="FFFF0000"/>
        <rFont val="Noto Sans CJK SC"/>
        <charset val="134"/>
      </rPr>
      <t>状态不持久化，约</t>
    </r>
    <r>
      <rPr>
        <sz val="10"/>
        <color rgb="FFFF0000"/>
        <rFont val="Arial"/>
        <charset val="1"/>
      </rPr>
      <t>20</t>
    </r>
    <r>
      <rPr>
        <sz val="10"/>
        <color rgb="FFFF0000"/>
        <rFont val="Noto Sans CJK SC"/>
        <charset val="134"/>
      </rPr>
      <t>秒）</t>
    </r>
  </si>
  <si>
    <t>笔记本不能待机，否则 Docker 暂停数据丢失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</si>
</sst>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0.0_ "/>
    <numFmt numFmtId="179" formatCode="0.0\2"/>
  </numFmts>
  <fonts count="35">
    <font>
      <sz val="11"/>
      <color theme="1"/>
      <name val="Calibri"/>
      <charset val="1"/>
    </font>
    <font>
      <b/>
      <sz val="14"/>
      <name val="Noto Sans CJK SC"/>
      <charset val="134"/>
    </font>
    <font>
      <sz val="10"/>
      <name val="Arial"/>
      <charset val="1"/>
    </font>
    <font>
      <b/>
      <sz val="10"/>
      <name val="Noto Sans CJK SC"/>
      <charset val="134"/>
    </font>
    <font>
      <sz val="10"/>
      <name val="Noto Sans CJK SC"/>
      <charset val="134"/>
    </font>
    <font>
      <b/>
      <sz val="10"/>
      <color rgb="FFFF0000"/>
      <name val="Arial"/>
      <charset val="1"/>
    </font>
    <font>
      <sz val="10"/>
      <color rgb="FFFF0000"/>
      <name val="Arial"/>
      <charset val="1"/>
    </font>
    <font>
      <sz val="10"/>
      <color rgb="FFFF0000"/>
      <name val="Noto Sans CJK SC"/>
      <charset val="134"/>
    </font>
    <font>
      <i/>
      <sz val="9"/>
      <color rgb="FF666666"/>
      <name val="Noto Sans CJK SC"/>
      <charset val="134"/>
    </font>
    <font>
      <b/>
      <sz val="10"/>
      <name val="Arial"/>
      <charset val="1"/>
    </font>
    <font>
      <sz val="10"/>
      <name val="Noto Sans CJK SC"/>
      <charset val="1"/>
    </font>
    <font>
      <b/>
      <sz val="10"/>
      <name val="Noto Sans CJK SC"/>
      <charset val="1"/>
    </font>
    <font>
      <i/>
      <sz val="9"/>
      <color rgb="FF666666"/>
      <name val="Arial"/>
      <charset val="1"/>
    </font>
    <font>
      <i/>
      <sz val="9"/>
      <color rgb="FF666666"/>
      <name val="Noto Sans CJK SC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6E4F0"/>
        <bgColor rgb="FFE8E8E8"/>
      </patternFill>
    </fill>
    <fill>
      <patternFill patternType="solid">
        <fgColor rgb="FFFFF9C4"/>
        <bgColor rgb="FFFFFF99"/>
      </patternFill>
    </fill>
    <fill>
      <patternFill patternType="solid">
        <fgColor rgb="FFD5F5E3"/>
        <bgColor rgb="FFD6E4F0"/>
      </patternFill>
    </fill>
    <fill>
      <patternFill patternType="solid">
        <fgColor rgb="FFFFE0B2"/>
        <bgColor rgb="FFFFF9C4"/>
      </patternFill>
    </fill>
    <fill>
      <patternFill patternType="solid">
        <fgColor rgb="FFF2F2F2"/>
        <bgColor rgb="FFE8E8E8"/>
      </patternFill>
    </fill>
    <fill>
      <patternFill patternType="solid">
        <fgColor rgb="FFE8E8E8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Alignment="1"/>
    <xf numFmtId="0" fontId="1" fillId="0" borderId="0" xfId="0" applyFont="1" applyBorder="1" applyAlignment="1"/>
    <xf numFmtId="0" fontId="2" fillId="0" borderId="0" xfId="0" applyFont="1" applyAlignment="1"/>
    <xf numFmtId="0" fontId="3" fillId="2" borderId="0" xfId="0" applyFont="1" applyFill="1" applyAlignment="1"/>
    <xf numFmtId="0" fontId="2" fillId="2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1" fillId="0" borderId="0" xfId="0" applyFont="1" applyBorder="1" applyAlignment="1">
      <alignment horizontal="center" vertical="center" wrapText="1"/>
    </xf>
    <xf numFmtId="0" fontId="8" fillId="0" borderId="0" xfId="0" applyFont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2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/>
    <xf numFmtId="0" fontId="9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7" fontId="9" fillId="5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9" fontId="9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9C4"/>
      <rgbColor rgb="00F2F2F2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E8E8"/>
      <rgbColor rgb="00D5F5E3"/>
      <rgbColor rgb="00FFFF99"/>
      <rgbColor rgb="0099CCFF"/>
      <rgbColor rgb="00FF99CC"/>
      <rgbColor rgb="00CC99FF"/>
      <rgbColor rgb="00FFE0B2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4"/>
  <sheetViews>
    <sheetView topLeftCell="A66" workbookViewId="0">
      <selection activeCell="Q29" sqref="Q29"/>
    </sheetView>
  </sheetViews>
  <sheetFormatPr defaultColWidth="8.69090909090909" defaultRowHeight="14.5"/>
  <cols>
    <col min="1" max="1" width="9" style="1" customWidth="1"/>
    <col min="2" max="2" width="14" style="1" customWidth="1"/>
    <col min="3" max="11" width="10" style="1" customWidth="1"/>
    <col min="12" max="14" width="11" style="1" customWidth="1"/>
    <col min="15" max="15" width="14" style="1" customWidth="1"/>
  </cols>
  <sheetData>
    <row r="1" ht="21" customHeight="1" spans="1: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3" ht="14.25" customHeight="1" spans="1:15">
      <c r="A3" s="24" t="s">
        <v>1</v>
      </c>
      <c r="B3" s="3"/>
      <c r="C3" s="3"/>
      <c r="D3" s="24" t="s">
        <v>2</v>
      </c>
      <c r="E3" s="3" t="s">
        <v>3</v>
      </c>
    </row>
    <row r="4" ht="15" customHeight="1" spans="1:15">
      <c r="A4" s="24" t="s">
        <v>4</v>
      </c>
      <c r="B4" s="3" t="s">
        <v>5</v>
      </c>
      <c r="C4" s="3"/>
      <c r="D4" s="24" t="s">
        <v>6</v>
      </c>
      <c r="E4" s="3" t="s">
        <v>7</v>
      </c>
    </row>
    <row r="5" ht="14.25" customHeight="1" spans="1:15">
      <c r="A5" s="24" t="s">
        <v>8</v>
      </c>
      <c r="B5" s="3" t="s">
        <v>9</v>
      </c>
      <c r="C5" s="3"/>
      <c r="D5" s="24" t="s">
        <v>10</v>
      </c>
      <c r="E5" s="3" t="s">
        <v>11</v>
      </c>
    </row>
    <row r="6" ht="14.25" customHeight="1" spans="1:15">
      <c r="A6" s="24" t="s">
        <v>12</v>
      </c>
      <c r="B6" s="3" t="s">
        <v>13</v>
      </c>
      <c r="C6" s="3"/>
      <c r="D6" s="24" t="s">
        <v>14</v>
      </c>
      <c r="E6" s="3" t="s">
        <v>15</v>
      </c>
    </row>
    <row r="8" ht="15" customHeight="1" spans="1:15">
      <c r="A8" s="25" t="s">
        <v>16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0" ht="15" customHeight="1" spans="1:15">
      <c r="A10" s="18" t="s">
        <v>17</v>
      </c>
      <c r="B10" s="18"/>
      <c r="C10" s="18"/>
      <c r="D10" s="18"/>
      <c r="E10" s="18"/>
      <c r="F10" s="18"/>
      <c r="G10" s="18"/>
    </row>
    <row r="11" ht="39" customHeight="1" spans="1:15">
      <c r="A11" s="26" t="s">
        <v>18</v>
      </c>
      <c r="B11" s="26" t="s">
        <v>19</v>
      </c>
      <c r="C11" s="26" t="s">
        <v>20</v>
      </c>
      <c r="D11" s="26" t="s">
        <v>21</v>
      </c>
      <c r="E11" s="26" t="s">
        <v>22</v>
      </c>
      <c r="F11" s="26" t="s">
        <v>23</v>
      </c>
      <c r="G11" s="26" t="s">
        <v>24</v>
      </c>
    </row>
    <row r="12" ht="25.5" customHeight="1" spans="1:15">
      <c r="A12" s="27" t="s">
        <v>25</v>
      </c>
      <c r="B12" s="28" t="s">
        <v>26</v>
      </c>
      <c r="C12" s="27" t="s">
        <v>27</v>
      </c>
      <c r="D12" s="27" t="s">
        <v>28</v>
      </c>
      <c r="E12" s="27" t="s">
        <v>28</v>
      </c>
      <c r="F12" s="27" t="s">
        <v>29</v>
      </c>
      <c r="G12" s="28" t="s">
        <v>30</v>
      </c>
    </row>
    <row r="13" ht="15" customHeight="1" spans="1:15">
      <c r="A13" s="14" t="s">
        <v>31</v>
      </c>
      <c r="B13" s="14" t="s">
        <v>32</v>
      </c>
      <c r="C13" s="14" t="s">
        <v>33</v>
      </c>
      <c r="D13" s="14" t="s">
        <v>34</v>
      </c>
      <c r="E13" s="14" t="s">
        <v>35</v>
      </c>
      <c r="F13" s="14" t="s">
        <v>36</v>
      </c>
      <c r="G13" s="15" t="s">
        <v>37</v>
      </c>
    </row>
    <row r="14" ht="15" customHeight="1" spans="1:15">
      <c r="A14" s="14" t="s">
        <v>38</v>
      </c>
      <c r="B14" s="14" t="s">
        <v>39</v>
      </c>
      <c r="C14" s="14" t="s">
        <v>40</v>
      </c>
      <c r="D14" s="14" t="s">
        <v>41</v>
      </c>
      <c r="E14" s="14" t="s">
        <v>42</v>
      </c>
      <c r="F14" s="29">
        <v>0.19</v>
      </c>
      <c r="G14" s="15" t="s">
        <v>43</v>
      </c>
    </row>
    <row r="15" ht="15" customHeight="1" spans="1:15">
      <c r="A15" s="14" t="s">
        <v>44</v>
      </c>
      <c r="B15" s="14" t="s">
        <v>45</v>
      </c>
      <c r="C15" s="14" t="s">
        <v>46</v>
      </c>
      <c r="D15" s="14" t="s">
        <v>47</v>
      </c>
      <c r="E15" s="14" t="s">
        <v>48</v>
      </c>
      <c r="F15" s="29">
        <v>0.33</v>
      </c>
      <c r="G15" s="15" t="s">
        <v>49</v>
      </c>
    </row>
    <row r="16" ht="25.5" customHeight="1" spans="1:15">
      <c r="A16" s="14" t="s">
        <v>50</v>
      </c>
      <c r="B16" s="14" t="s">
        <v>51</v>
      </c>
      <c r="C16" s="14">
        <v>400</v>
      </c>
      <c r="D16" s="14">
        <v>0.6</v>
      </c>
      <c r="E16" s="14">
        <v>144</v>
      </c>
      <c r="F16" s="29">
        <v>0.52</v>
      </c>
      <c r="G16" s="15" t="s">
        <v>52</v>
      </c>
    </row>
    <row r="17" ht="25.5" customHeight="1" spans="1:15">
      <c r="A17" s="14" t="s">
        <v>53</v>
      </c>
      <c r="B17" s="14" t="s">
        <v>54</v>
      </c>
      <c r="C17" s="14" t="s">
        <v>55</v>
      </c>
      <c r="D17" s="14" t="s">
        <v>56</v>
      </c>
      <c r="E17" s="14" t="s">
        <v>57</v>
      </c>
      <c r="F17" s="29">
        <v>0.67</v>
      </c>
      <c r="G17" s="15" t="s">
        <v>58</v>
      </c>
    </row>
    <row r="18" ht="38.25" customHeight="1" spans="1:15">
      <c r="A18" s="14" t="s">
        <v>59</v>
      </c>
      <c r="B18" s="14" t="s">
        <v>60</v>
      </c>
      <c r="C18" s="14">
        <v>244.4</v>
      </c>
      <c r="D18" s="14">
        <v>0.982</v>
      </c>
      <c r="E18" s="14">
        <v>235.6</v>
      </c>
      <c r="F18" s="29">
        <v>0.86</v>
      </c>
      <c r="G18" s="15" t="s">
        <v>61</v>
      </c>
    </row>
    <row r="19" ht="38.25" customHeight="1" spans="1:15">
      <c r="A19" s="14" t="s">
        <v>62</v>
      </c>
      <c r="B19" s="14" t="s">
        <v>63</v>
      </c>
      <c r="C19" s="14">
        <v>220</v>
      </c>
      <c r="D19" s="14">
        <v>1.091</v>
      </c>
      <c r="E19" s="14">
        <v>261.8</v>
      </c>
      <c r="F19" s="29">
        <v>0.95</v>
      </c>
      <c r="G19" s="15" t="s">
        <v>61</v>
      </c>
    </row>
    <row r="20" ht="25.5" customHeight="1" spans="1:15">
      <c r="A20" s="14" t="s">
        <v>64</v>
      </c>
      <c r="B20" s="14" t="s">
        <v>65</v>
      </c>
      <c r="C20" s="14">
        <v>209.5</v>
      </c>
      <c r="D20" s="14" t="s">
        <v>66</v>
      </c>
      <c r="E20" s="14">
        <v>274.9</v>
      </c>
      <c r="F20" s="14" t="s">
        <v>67</v>
      </c>
      <c r="G20" s="15" t="s">
        <v>68</v>
      </c>
    </row>
    <row r="21" ht="25.5" customHeight="1" spans="1:15">
      <c r="A21" s="14" t="s">
        <v>69</v>
      </c>
      <c r="B21" s="14" t="s">
        <v>70</v>
      </c>
      <c r="C21" s="14">
        <v>1466.7</v>
      </c>
      <c r="D21" s="14">
        <v>0.164</v>
      </c>
      <c r="E21" s="14" t="s">
        <v>71</v>
      </c>
      <c r="F21" s="29">
        <v>0.14</v>
      </c>
      <c r="G21" s="15" t="s">
        <v>72</v>
      </c>
    </row>
    <row r="23" ht="14.25" customHeight="1" spans="1:15">
      <c r="A23" s="30" t="s">
        <v>73</v>
      </c>
      <c r="B23" s="30"/>
      <c r="C23" s="30"/>
      <c r="D23" s="30"/>
      <c r="E23" s="30"/>
      <c r="F23" s="30"/>
      <c r="G23" s="30"/>
    </row>
    <row r="25" ht="15" customHeight="1" spans="1:15">
      <c r="A25" s="18" t="s">
        <v>74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ht="39" customHeight="1" spans="1:15">
      <c r="A26" s="12" t="s">
        <v>18</v>
      </c>
      <c r="B26" s="12" t="s">
        <v>75</v>
      </c>
      <c r="C26" s="13" t="s">
        <v>76</v>
      </c>
      <c r="D26" s="13" t="s">
        <v>77</v>
      </c>
      <c r="E26" s="13" t="s">
        <v>78</v>
      </c>
      <c r="F26" s="13" t="s">
        <v>79</v>
      </c>
      <c r="G26" s="13" t="s">
        <v>80</v>
      </c>
      <c r="H26" s="13" t="s">
        <v>81</v>
      </c>
      <c r="I26" s="13" t="s">
        <v>82</v>
      </c>
      <c r="J26" s="13" t="s">
        <v>83</v>
      </c>
      <c r="K26" s="13" t="s">
        <v>84</v>
      </c>
      <c r="L26" s="12" t="s">
        <v>85</v>
      </c>
      <c r="M26" s="12" t="s">
        <v>86</v>
      </c>
      <c r="N26" s="12" t="s">
        <v>87</v>
      </c>
      <c r="O26" s="12" t="s">
        <v>88</v>
      </c>
    </row>
    <row r="27" ht="15" customHeight="1" spans="1:15">
      <c r="A27" s="31" t="s">
        <v>89</v>
      </c>
      <c r="B27" s="32" t="s">
        <v>90</v>
      </c>
      <c r="C27" s="16">
        <v>238.4</v>
      </c>
      <c r="D27" s="16">
        <v>0.002</v>
      </c>
      <c r="E27" s="16">
        <v>0.47</v>
      </c>
      <c r="F27" s="16">
        <v>238.7</v>
      </c>
      <c r="G27" s="16">
        <v>0</v>
      </c>
      <c r="H27" s="16">
        <v>0</v>
      </c>
      <c r="I27" s="16">
        <v>238.7</v>
      </c>
      <c r="J27" s="16">
        <v>0</v>
      </c>
      <c r="K27" s="16">
        <v>0</v>
      </c>
      <c r="L27" s="33">
        <f>IF(C27=0,"N/A",ABS(F27-C27)/C27*100)</f>
        <v>0.125838926174489</v>
      </c>
      <c r="M27" s="33">
        <f>IF(D27=0,"N/A",ABS(G27-D27)/D27*100)</f>
        <v>100</v>
      </c>
      <c r="N27" s="33">
        <f>IF(E27=0,"N/A",ABS(H27-E27)/E27*100)</f>
        <v>100</v>
      </c>
      <c r="O27" s="34"/>
    </row>
    <row r="28" ht="14.25" customHeight="1" spans="1:15">
      <c r="A28" s="31"/>
      <c r="B28" s="31"/>
      <c r="C28" s="16">
        <v>238.4</v>
      </c>
      <c r="D28" s="16">
        <v>0</v>
      </c>
      <c r="E28" s="16">
        <v>0</v>
      </c>
      <c r="F28" s="16">
        <v>238.5</v>
      </c>
      <c r="G28" s="16">
        <v>0</v>
      </c>
      <c r="H28" s="16">
        <v>0</v>
      </c>
      <c r="I28" s="16">
        <v>238.8</v>
      </c>
      <c r="J28" s="16">
        <v>0</v>
      </c>
      <c r="K28" s="16">
        <v>0</v>
      </c>
      <c r="L28" s="33">
        <f>IF(C28=0,"N/A",ABS(F28-C28)/C28*100)</f>
        <v>0.0419463087248298</v>
      </c>
      <c r="M28" s="33" t="str">
        <f>IF(D28=0,"N/A",ABS(G28-D28)/D28*100)</f>
        <v>N/A</v>
      </c>
      <c r="N28" s="33" t="str">
        <f>IF(E28=0,"N/A",ABS(H28-E28)/E28*100)</f>
        <v>N/A</v>
      </c>
      <c r="O28" s="34"/>
    </row>
    <row r="29" ht="14.25" customHeight="1" spans="1:15">
      <c r="A29" s="31"/>
      <c r="B29" s="31"/>
      <c r="C29" s="16">
        <v>238.2</v>
      </c>
      <c r="D29" s="16">
        <v>0</v>
      </c>
      <c r="E29" s="16">
        <v>0</v>
      </c>
      <c r="F29" s="16">
        <v>238.4</v>
      </c>
      <c r="G29" s="16">
        <v>0</v>
      </c>
      <c r="H29" s="16">
        <v>0</v>
      </c>
      <c r="I29" s="16">
        <v>238.6</v>
      </c>
      <c r="J29" s="16">
        <v>0</v>
      </c>
      <c r="K29" s="16">
        <v>0</v>
      </c>
      <c r="L29" s="33">
        <f>IF(C29=0,"N/A",ABS(F29-C29)/C29*100)</f>
        <v>0.0839630562552549</v>
      </c>
      <c r="M29" s="33" t="str">
        <f>IF(D29=0,"N/A",ABS(G29-D29)/D29*100)</f>
        <v>N/A</v>
      </c>
      <c r="N29" s="33" t="str">
        <f>IF(E29=0,"N/A",ABS(H29-E29)/E29*100)</f>
        <v>N/A</v>
      </c>
      <c r="O29" s="34"/>
    </row>
    <row r="30" ht="15" customHeight="1" spans="1:15">
      <c r="A30" s="23"/>
      <c r="B30" s="35" t="s">
        <v>91</v>
      </c>
      <c r="C30" s="20">
        <f t="shared" ref="C30:N30" si="0">IFERROR(AVERAGE(C27:C29),"N/A")</f>
        <v>238.333333333333</v>
      </c>
      <c r="D30" s="36">
        <f t="shared" si="0"/>
        <v>0.000666666666666667</v>
      </c>
      <c r="E30" s="20">
        <f t="shared" si="0"/>
        <v>0.156666666666667</v>
      </c>
      <c r="F30" s="20">
        <f t="shared" si="0"/>
        <v>238.533333333333</v>
      </c>
      <c r="G30" s="36">
        <f t="shared" si="0"/>
        <v>0</v>
      </c>
      <c r="H30" s="20">
        <f t="shared" si="0"/>
        <v>0</v>
      </c>
      <c r="I30" s="20">
        <f t="shared" si="0"/>
        <v>238.7</v>
      </c>
      <c r="J30" s="36">
        <f t="shared" si="0"/>
        <v>0</v>
      </c>
      <c r="K30" s="20">
        <f t="shared" si="0"/>
        <v>0</v>
      </c>
      <c r="L30" s="19">
        <f t="shared" si="0"/>
        <v>0.0839160970515247</v>
      </c>
      <c r="M30" s="19">
        <f t="shared" si="0"/>
        <v>100</v>
      </c>
      <c r="N30" s="19">
        <f t="shared" si="0"/>
        <v>100</v>
      </c>
      <c r="O30" s="35"/>
    </row>
    <row r="31" ht="15" customHeight="1" spans="1:15">
      <c r="A31" s="31" t="s">
        <v>31</v>
      </c>
      <c r="B31" s="37" t="s">
        <v>92</v>
      </c>
      <c r="C31" s="38">
        <v>238</v>
      </c>
      <c r="D31" s="16">
        <v>0.054</v>
      </c>
      <c r="E31" s="16">
        <v>12.85</v>
      </c>
      <c r="F31" s="16">
        <v>238.3</v>
      </c>
      <c r="G31" s="16">
        <v>0.06</v>
      </c>
      <c r="H31" s="16">
        <v>15</v>
      </c>
      <c r="I31" s="16">
        <v>238.2</v>
      </c>
      <c r="J31" s="16">
        <v>0.06</v>
      </c>
      <c r="K31" s="16">
        <v>14.8</v>
      </c>
      <c r="L31" s="33">
        <f>IF(C31=0,"N/A",ABS(F31-C31)/C31*100)</f>
        <v>0.126050420168072</v>
      </c>
      <c r="M31" s="33">
        <f>IF(D31=0,"N/A",ABS(G31-D31)/D31*100)</f>
        <v>11.1111111111111</v>
      </c>
      <c r="N31" s="33">
        <f>IF(E31=0,"N/A",ABS(H31-E31)/E31*100)</f>
        <v>16.7315175097276</v>
      </c>
      <c r="O31" s="39" t="s">
        <v>93</v>
      </c>
    </row>
    <row r="32" ht="14.25" customHeight="1" spans="1:15">
      <c r="A32" s="31"/>
      <c r="B32" s="31"/>
      <c r="C32" s="16">
        <v>238.2</v>
      </c>
      <c r="D32" s="16">
        <v>0.054</v>
      </c>
      <c r="E32" s="16">
        <v>12.86</v>
      </c>
      <c r="F32" s="16">
        <v>238.4</v>
      </c>
      <c r="G32" s="16">
        <v>0.06</v>
      </c>
      <c r="H32" s="16">
        <v>15</v>
      </c>
      <c r="I32" s="16">
        <v>238.4</v>
      </c>
      <c r="J32" s="16">
        <v>0.06</v>
      </c>
      <c r="K32" s="16">
        <v>15</v>
      </c>
      <c r="L32" s="33">
        <f>IF(C32=0,"N/A",ABS(F32-C32)/C32*100)</f>
        <v>0.0839630562552549</v>
      </c>
      <c r="M32" s="33">
        <f>IF(D32=0,"N/A",ABS(G32-D32)/D32*100)</f>
        <v>11.1111111111111</v>
      </c>
      <c r="N32" s="33">
        <f>IF(E32=0,"N/A",ABS(H32-E32)/E32*100)</f>
        <v>16.6407465007776</v>
      </c>
      <c r="O32" s="34"/>
    </row>
    <row r="33" ht="14.25" customHeight="1" spans="1:15">
      <c r="A33" s="31"/>
      <c r="B33" s="31"/>
      <c r="C33" s="16">
        <v>238.1</v>
      </c>
      <c r="D33" s="16">
        <v>0.054</v>
      </c>
      <c r="E33" s="16">
        <v>12.86</v>
      </c>
      <c r="F33" s="16">
        <v>238.2</v>
      </c>
      <c r="G33" s="16">
        <v>0.06</v>
      </c>
      <c r="H33" s="16">
        <v>14.8</v>
      </c>
      <c r="I33" s="16">
        <v>238.1</v>
      </c>
      <c r="J33" s="16">
        <v>0.06</v>
      </c>
      <c r="K33" s="16">
        <v>14.6</v>
      </c>
      <c r="L33" s="33">
        <f>IF(C33=0,"N/A",ABS(F33-C33)/C33*100)</f>
        <v>0.0419991600167973</v>
      </c>
      <c r="M33" s="33">
        <f>IF(D33=0,"N/A",ABS(G33-D33)/D33*100)</f>
        <v>11.1111111111111</v>
      </c>
      <c r="N33" s="33">
        <f>IF(E33=0,"N/A",ABS(H33-E33)/E33*100)</f>
        <v>15.0855365474339</v>
      </c>
      <c r="O33" s="34"/>
    </row>
    <row r="34" ht="15" customHeight="1" spans="1:15">
      <c r="A34" s="35"/>
      <c r="B34" s="35" t="s">
        <v>91</v>
      </c>
      <c r="C34" s="20">
        <f t="shared" ref="C34:N34" si="1">IFERROR(AVERAGE(C31:C33),"N/A")</f>
        <v>238.1</v>
      </c>
      <c r="D34" s="36">
        <f t="shared" si="1"/>
        <v>0.054</v>
      </c>
      <c r="E34" s="20">
        <f t="shared" si="1"/>
        <v>12.8566666666667</v>
      </c>
      <c r="F34" s="20">
        <f t="shared" si="1"/>
        <v>238.3</v>
      </c>
      <c r="G34" s="36">
        <f t="shared" si="1"/>
        <v>0.06</v>
      </c>
      <c r="H34" s="20">
        <f t="shared" si="1"/>
        <v>14.9333333333333</v>
      </c>
      <c r="I34" s="20">
        <f t="shared" si="1"/>
        <v>238.233333333333</v>
      </c>
      <c r="J34" s="36">
        <f t="shared" si="1"/>
        <v>0.06</v>
      </c>
      <c r="K34" s="20">
        <f t="shared" si="1"/>
        <v>14.8</v>
      </c>
      <c r="L34" s="19">
        <f t="shared" si="1"/>
        <v>0.084004212146708</v>
      </c>
      <c r="M34" s="19">
        <f t="shared" si="1"/>
        <v>11.1111111111111</v>
      </c>
      <c r="N34" s="19">
        <f t="shared" si="1"/>
        <v>16.1526001859797</v>
      </c>
      <c r="O34" s="35"/>
    </row>
    <row r="35" ht="15" customHeight="1" spans="1:15">
      <c r="A35" s="31" t="s">
        <v>38</v>
      </c>
      <c r="B35" s="37" t="s">
        <v>94</v>
      </c>
      <c r="C35" s="16">
        <v>238.2</v>
      </c>
      <c r="D35" s="16">
        <v>0.216</v>
      </c>
      <c r="E35" s="16">
        <v>51.45</v>
      </c>
      <c r="F35" s="16">
        <v>238.5</v>
      </c>
      <c r="G35" s="16">
        <v>0.21</v>
      </c>
      <c r="H35" s="16">
        <v>52.2</v>
      </c>
      <c r="I35" s="16">
        <v>238.3</v>
      </c>
      <c r="J35" s="16">
        <v>0.21</v>
      </c>
      <c r="K35" s="16">
        <v>52.1</v>
      </c>
      <c r="L35" s="33">
        <f>IF(C35=0,"N/A",ABS(F35-C35)/C35*100)</f>
        <v>0.125944584382876</v>
      </c>
      <c r="M35" s="33">
        <f>IF(D35=0,"N/A",ABS(G35-D35)/D35*100)</f>
        <v>2.77777777777778</v>
      </c>
      <c r="N35" s="33">
        <f>IF(E35=0,"N/A",ABS(H35-E35)/E35*100)</f>
        <v>1.45772594752187</v>
      </c>
      <c r="O35" s="34"/>
    </row>
    <row r="36" ht="14.25" customHeight="1" spans="1:15">
      <c r="A36" s="31"/>
      <c r="B36" s="31"/>
      <c r="C36" s="38">
        <v>238</v>
      </c>
      <c r="D36" s="16">
        <v>0.215</v>
      </c>
      <c r="E36" s="16">
        <v>51.17</v>
      </c>
      <c r="F36" s="16">
        <v>238.2</v>
      </c>
      <c r="G36" s="16">
        <v>0.21</v>
      </c>
      <c r="H36" s="16">
        <v>52.2</v>
      </c>
      <c r="I36" s="16">
        <v>238.2</v>
      </c>
      <c r="J36" s="16">
        <v>0.21</v>
      </c>
      <c r="K36" s="16">
        <v>52.2</v>
      </c>
      <c r="L36" s="33">
        <f>IF(C36=0,"N/A",ABS(F36-C36)/C36*100)</f>
        <v>0.0840336134453734</v>
      </c>
      <c r="M36" s="33">
        <f>IF(D36=0,"N/A",ABS(G36-D36)/D36*100)</f>
        <v>2.32558139534884</v>
      </c>
      <c r="N36" s="33">
        <f>IF(E36=0,"N/A",ABS(H36-E36)/E36*100)</f>
        <v>2.01289818252883</v>
      </c>
      <c r="O36" s="34"/>
    </row>
    <row r="37" ht="14.25" customHeight="1" spans="1:15">
      <c r="A37" s="31"/>
      <c r="B37" s="31"/>
      <c r="C37" s="16">
        <v>238.1</v>
      </c>
      <c r="D37" s="16">
        <v>0.215</v>
      </c>
      <c r="E37" s="16">
        <v>51.19</v>
      </c>
      <c r="F37" s="16">
        <v>238.4</v>
      </c>
      <c r="G37" s="16">
        <v>0.21</v>
      </c>
      <c r="H37" s="16">
        <v>52.2</v>
      </c>
      <c r="I37" s="16">
        <v>238.4</v>
      </c>
      <c r="J37" s="16">
        <v>0.21</v>
      </c>
      <c r="K37" s="16">
        <v>52.2</v>
      </c>
      <c r="L37" s="33">
        <f>IF(C37=0,"N/A",ABS(F37-C37)/C37*100)</f>
        <v>0.125997480050404</v>
      </c>
      <c r="M37" s="33">
        <f>IF(D37=0,"N/A",ABS(G37-D37)/D37*100)</f>
        <v>2.32558139534884</v>
      </c>
      <c r="N37" s="33">
        <f>IF(E37=0,"N/A",ABS(H37-E37)/E37*100)</f>
        <v>1.9730416096894</v>
      </c>
      <c r="O37" s="34"/>
    </row>
    <row r="38" ht="15" customHeight="1" spans="1:15">
      <c r="A38" s="35"/>
      <c r="B38" s="35" t="s">
        <v>91</v>
      </c>
      <c r="C38" s="20">
        <f t="shared" ref="C38:N38" si="2">IFERROR(AVERAGE(C35:C37),"N/A")</f>
        <v>238.1</v>
      </c>
      <c r="D38" s="36">
        <f t="shared" si="2"/>
        <v>0.215333333333333</v>
      </c>
      <c r="E38" s="20">
        <f t="shared" si="2"/>
        <v>51.27</v>
      </c>
      <c r="F38" s="20">
        <f t="shared" si="2"/>
        <v>238.366666666667</v>
      </c>
      <c r="G38" s="36">
        <f t="shared" si="2"/>
        <v>0.21</v>
      </c>
      <c r="H38" s="20">
        <f t="shared" si="2"/>
        <v>52.2</v>
      </c>
      <c r="I38" s="20">
        <f t="shared" si="2"/>
        <v>238.3</v>
      </c>
      <c r="J38" s="36">
        <f t="shared" si="2"/>
        <v>0.21</v>
      </c>
      <c r="K38" s="20">
        <f t="shared" si="2"/>
        <v>52.1666666666667</v>
      </c>
      <c r="L38" s="19">
        <f t="shared" si="2"/>
        <v>0.111991892626218</v>
      </c>
      <c r="M38" s="19">
        <f t="shared" si="2"/>
        <v>2.47631352282515</v>
      </c>
      <c r="N38" s="19">
        <f t="shared" si="2"/>
        <v>1.81455524658003</v>
      </c>
      <c r="O38" s="35"/>
    </row>
    <row r="39" ht="15" customHeight="1" spans="1:15">
      <c r="A39" s="31" t="s">
        <v>44</v>
      </c>
      <c r="B39" s="37" t="s">
        <v>95</v>
      </c>
      <c r="C39" s="16">
        <v>238.1</v>
      </c>
      <c r="D39" s="16">
        <v>0.378</v>
      </c>
      <c r="E39" s="16">
        <v>90</v>
      </c>
      <c r="F39" s="16">
        <v>238.4</v>
      </c>
      <c r="G39" s="16">
        <v>0.38</v>
      </c>
      <c r="H39" s="16">
        <v>90.8</v>
      </c>
      <c r="I39" s="16">
        <v>238.2</v>
      </c>
      <c r="J39" s="16">
        <v>0.38</v>
      </c>
      <c r="K39" s="16">
        <v>90.5</v>
      </c>
      <c r="L39" s="33">
        <f>IF(C39=0,"N/A",ABS(F39-C39)/C39*100)</f>
        <v>0.125997480050404</v>
      </c>
      <c r="M39" s="33">
        <f>IF(D39=0,"N/A",ABS(G39-D39)/D39*100)</f>
        <v>0.52910052910053</v>
      </c>
      <c r="N39" s="33">
        <f>IF(E39=0,"N/A",ABS(H39-E39)/E39*100)</f>
        <v>0.888888888888886</v>
      </c>
      <c r="O39" s="34"/>
    </row>
    <row r="40" ht="14.25" customHeight="1" spans="1:15">
      <c r="A40" s="31"/>
      <c r="B40" s="31"/>
      <c r="C40" s="38">
        <v>238</v>
      </c>
      <c r="D40" s="16">
        <v>0.378</v>
      </c>
      <c r="E40" s="16">
        <v>89.9</v>
      </c>
      <c r="F40" s="38">
        <v>238</v>
      </c>
      <c r="G40" s="16">
        <v>0.38</v>
      </c>
      <c r="H40" s="16">
        <v>90.8</v>
      </c>
      <c r="I40" s="16">
        <v>238.2</v>
      </c>
      <c r="J40" s="16">
        <v>0.38</v>
      </c>
      <c r="K40" s="16">
        <v>90.8</v>
      </c>
      <c r="L40" s="33">
        <f>IF(C40=0,"N/A",ABS(F40-C40)/C40*100)</f>
        <v>0</v>
      </c>
      <c r="M40" s="33">
        <f>IF(D40=0,"N/A",ABS(G40-D40)/D40*100)</f>
        <v>0.52910052910053</v>
      </c>
      <c r="N40" s="33">
        <f>IF(E40=0,"N/A",ABS(H40-E40)/E40*100)</f>
        <v>1.00111234705227</v>
      </c>
      <c r="O40" s="34"/>
    </row>
    <row r="41" ht="14.25" customHeight="1" spans="1:15">
      <c r="A41" s="31"/>
      <c r="B41" s="31"/>
      <c r="C41" s="16">
        <v>238.4</v>
      </c>
      <c r="D41" s="16">
        <v>0.378</v>
      </c>
      <c r="E41" s="16">
        <v>90.1</v>
      </c>
      <c r="F41" s="16">
        <v>238.6</v>
      </c>
      <c r="G41" s="16">
        <v>0.38</v>
      </c>
      <c r="H41" s="16">
        <v>90.9</v>
      </c>
      <c r="I41" s="16">
        <v>238.7</v>
      </c>
      <c r="J41" s="16">
        <v>0.38</v>
      </c>
      <c r="K41" s="16">
        <v>91.2</v>
      </c>
      <c r="L41" s="33">
        <f>IF(C41=0,"N/A",ABS(F41-C41)/C41*100)</f>
        <v>0.0838926174496597</v>
      </c>
      <c r="M41" s="33">
        <f>IF(D41=0,"N/A",ABS(G41-D41)/D41*100)</f>
        <v>0.52910052910053</v>
      </c>
      <c r="N41" s="33">
        <f>IF(E41=0,"N/A",ABS(H41-E41)/E41*100)</f>
        <v>0.887902330743631</v>
      </c>
      <c r="O41" s="34"/>
    </row>
    <row r="42" ht="15" customHeight="1" spans="1:15">
      <c r="A42" s="35"/>
      <c r="B42" s="35" t="s">
        <v>91</v>
      </c>
      <c r="C42" s="20">
        <f t="shared" ref="C42:N42" si="3">IFERROR(AVERAGE(C39:C41),"N/A")</f>
        <v>238.166666666667</v>
      </c>
      <c r="D42" s="36">
        <f t="shared" si="3"/>
        <v>0.378</v>
      </c>
      <c r="E42" s="20">
        <f t="shared" si="3"/>
        <v>90</v>
      </c>
      <c r="F42" s="20">
        <f t="shared" si="3"/>
        <v>238.333333333333</v>
      </c>
      <c r="G42" s="36">
        <f t="shared" si="3"/>
        <v>0.38</v>
      </c>
      <c r="H42" s="20">
        <f t="shared" si="3"/>
        <v>90.8333333333333</v>
      </c>
      <c r="I42" s="20">
        <f t="shared" si="3"/>
        <v>238.366666666667</v>
      </c>
      <c r="J42" s="36">
        <f t="shared" si="3"/>
        <v>0.38</v>
      </c>
      <c r="K42" s="20">
        <f t="shared" si="3"/>
        <v>90.8333333333333</v>
      </c>
      <c r="L42" s="19">
        <f t="shared" si="3"/>
        <v>0.0699633658333545</v>
      </c>
      <c r="M42" s="19">
        <f t="shared" si="3"/>
        <v>0.52910052910053</v>
      </c>
      <c r="N42" s="19">
        <f t="shared" si="3"/>
        <v>0.925967855561596</v>
      </c>
      <c r="O42" s="35"/>
    </row>
    <row r="43" ht="15" customHeight="1" spans="1:15">
      <c r="A43" s="31" t="s">
        <v>50</v>
      </c>
      <c r="B43" s="37" t="s">
        <v>96</v>
      </c>
      <c r="C43" s="38">
        <v>238</v>
      </c>
      <c r="D43" s="16">
        <v>0.595</v>
      </c>
      <c r="E43" s="16">
        <v>141.6</v>
      </c>
      <c r="F43" s="16">
        <v>238.4</v>
      </c>
      <c r="G43" s="16">
        <v>0.59</v>
      </c>
      <c r="H43" s="16">
        <v>142.5</v>
      </c>
      <c r="I43" s="16">
        <v>238.3</v>
      </c>
      <c r="J43" s="16">
        <v>0.59</v>
      </c>
      <c r="K43" s="16">
        <v>142.5</v>
      </c>
      <c r="L43" s="33">
        <f>IF(C43=0,"N/A",ABS(F43-C43)/C43*100)</f>
        <v>0.168067226890759</v>
      </c>
      <c r="M43" s="33">
        <f>IF(D43=0,"N/A",ABS(G43-D43)/D43*100)</f>
        <v>0.840336134453782</v>
      </c>
      <c r="N43" s="33">
        <f>IF(E43=0,"N/A",ABS(H43-E43)/E43*100)</f>
        <v>0.635593220338987</v>
      </c>
      <c r="O43" s="34"/>
    </row>
    <row r="44" ht="14.25" customHeight="1" spans="1:15">
      <c r="A44" s="31"/>
      <c r="B44" s="31"/>
      <c r="C44" s="16">
        <v>238.1</v>
      </c>
      <c r="D44" s="16">
        <v>0.595</v>
      </c>
      <c r="E44" s="16">
        <v>141.7</v>
      </c>
      <c r="F44" s="16">
        <v>238.2</v>
      </c>
      <c r="G44" s="16">
        <v>0.59</v>
      </c>
      <c r="H44" s="16">
        <v>142.3</v>
      </c>
      <c r="I44" s="16">
        <v>238.2</v>
      </c>
      <c r="J44" s="16">
        <v>0.59</v>
      </c>
      <c r="K44" s="16">
        <v>142.3</v>
      </c>
      <c r="L44" s="33">
        <f>IF(C44=0,"N/A",ABS(F44-C44)/C44*100)</f>
        <v>0.0419991600167973</v>
      </c>
      <c r="M44" s="33">
        <f>IF(D44=0,"N/A",ABS(G44-D44)/D44*100)</f>
        <v>0.840336134453782</v>
      </c>
      <c r="N44" s="33">
        <f>IF(E44=0,"N/A",ABS(H44-E44)/E44*100)</f>
        <v>0.423429781227962</v>
      </c>
      <c r="O44" s="34"/>
    </row>
    <row r="45" ht="14.25" customHeight="1" spans="1:15">
      <c r="A45" s="31"/>
      <c r="B45" s="31"/>
      <c r="C45" s="38">
        <v>238</v>
      </c>
      <c r="D45" s="16">
        <v>0.595</v>
      </c>
      <c r="E45" s="16">
        <v>141.6</v>
      </c>
      <c r="F45" s="16">
        <v>238.3</v>
      </c>
      <c r="G45" s="16">
        <v>0.59</v>
      </c>
      <c r="H45" s="16">
        <v>142.3</v>
      </c>
      <c r="I45" s="16">
        <v>238.3</v>
      </c>
      <c r="J45" s="16">
        <v>0.59</v>
      </c>
      <c r="K45" s="16">
        <v>142.6</v>
      </c>
      <c r="L45" s="33">
        <f>IF(C45=0,"N/A",ABS(F45-C45)/C45*100)</f>
        <v>0.126050420168072</v>
      </c>
      <c r="M45" s="33">
        <f>IF(D45=0,"N/A",ABS(G45-D45)/D45*100)</f>
        <v>0.840336134453782</v>
      </c>
      <c r="N45" s="33">
        <f>IF(E45=0,"N/A",ABS(H45-E45)/E45*100)</f>
        <v>0.494350282485888</v>
      </c>
      <c r="O45" s="34"/>
    </row>
    <row r="46" ht="15" customHeight="1" spans="1:15">
      <c r="A46" s="35"/>
      <c r="B46" s="35" t="s">
        <v>91</v>
      </c>
      <c r="C46" s="20">
        <f t="shared" ref="C46:N46" si="4">IFERROR(AVERAGE(C43:C45),"N/A")</f>
        <v>238.033333333333</v>
      </c>
      <c r="D46" s="36">
        <f t="shared" si="4"/>
        <v>0.595</v>
      </c>
      <c r="E46" s="20">
        <f t="shared" si="4"/>
        <v>141.633333333333</v>
      </c>
      <c r="F46" s="20">
        <f t="shared" si="4"/>
        <v>238.3</v>
      </c>
      <c r="G46" s="36">
        <f t="shared" si="4"/>
        <v>0.59</v>
      </c>
      <c r="H46" s="20">
        <f t="shared" si="4"/>
        <v>142.366666666667</v>
      </c>
      <c r="I46" s="20">
        <f t="shared" si="4"/>
        <v>238.266666666667</v>
      </c>
      <c r="J46" s="36">
        <f t="shared" si="4"/>
        <v>0.59</v>
      </c>
      <c r="K46" s="20">
        <f t="shared" si="4"/>
        <v>142.466666666667</v>
      </c>
      <c r="L46" s="19">
        <f t="shared" si="4"/>
        <v>0.112038935691876</v>
      </c>
      <c r="M46" s="19">
        <f t="shared" si="4"/>
        <v>0.840336134453782</v>
      </c>
      <c r="N46" s="19">
        <f t="shared" si="4"/>
        <v>0.517791094684279</v>
      </c>
      <c r="O46" s="35"/>
    </row>
    <row r="47" ht="15" customHeight="1" spans="1:15">
      <c r="A47" s="31" t="s">
        <v>53</v>
      </c>
      <c r="B47" s="37" t="s">
        <v>97</v>
      </c>
      <c r="C47" s="16">
        <v>237.9</v>
      </c>
      <c r="D47" s="16">
        <v>0.757</v>
      </c>
      <c r="E47" s="16">
        <v>180.1</v>
      </c>
      <c r="F47" s="16">
        <v>238.2</v>
      </c>
      <c r="G47" s="16">
        <v>0.75</v>
      </c>
      <c r="H47" s="16">
        <v>180.3</v>
      </c>
      <c r="I47" s="16">
        <v>237.9</v>
      </c>
      <c r="J47" s="16">
        <v>0.75</v>
      </c>
      <c r="K47" s="16">
        <v>180.3</v>
      </c>
      <c r="L47" s="33">
        <f>IF(C47=0,"N/A",ABS(F47-C47)/C47*100)</f>
        <v>0.126103404791922</v>
      </c>
      <c r="M47" s="33">
        <f>IF(D47=0,"N/A",ABS(G47-D47)/D47*100)</f>
        <v>0.924702774108323</v>
      </c>
      <c r="N47" s="33">
        <f>IF(E47=0,"N/A",ABS(H47-E47)/E47*100)</f>
        <v>0.11104941699057</v>
      </c>
      <c r="O47" s="34"/>
    </row>
    <row r="48" ht="14.25" customHeight="1" spans="1:15">
      <c r="A48" s="31"/>
      <c r="B48" s="31"/>
      <c r="C48" s="38">
        <v>238</v>
      </c>
      <c r="D48" s="16">
        <v>0.757</v>
      </c>
      <c r="E48" s="16">
        <v>180.2</v>
      </c>
      <c r="F48" s="16">
        <v>238.3</v>
      </c>
      <c r="G48" s="16">
        <v>0.76</v>
      </c>
      <c r="H48" s="16">
        <v>181.1</v>
      </c>
      <c r="I48" s="16">
        <v>238.3</v>
      </c>
      <c r="J48" s="16">
        <v>0.76</v>
      </c>
      <c r="K48" s="16">
        <v>181.1</v>
      </c>
      <c r="L48" s="33">
        <f>IF(C48=0,"N/A",ABS(F48-C48)/C48*100)</f>
        <v>0.126050420168072</v>
      </c>
      <c r="M48" s="33">
        <f>IF(D48=0,"N/A",ABS(G48-D48)/D48*100)</f>
        <v>0.396301188903567</v>
      </c>
      <c r="N48" s="33">
        <f>IF(E48=0,"N/A",ABS(H48-E48)/E48*100)</f>
        <v>0.499445061043288</v>
      </c>
      <c r="O48" s="34"/>
    </row>
    <row r="49" ht="14.25" customHeight="1" spans="1:15">
      <c r="A49" s="31"/>
      <c r="B49" s="31"/>
      <c r="C49" s="38">
        <v>237</v>
      </c>
      <c r="D49" s="16">
        <v>0.755</v>
      </c>
      <c r="E49" s="16">
        <v>178.9</v>
      </c>
      <c r="F49" s="16">
        <v>237.3</v>
      </c>
      <c r="G49" s="16">
        <v>0.75</v>
      </c>
      <c r="H49" s="16">
        <v>179.6</v>
      </c>
      <c r="I49" s="16">
        <v>237.1</v>
      </c>
      <c r="J49" s="16">
        <v>0.75</v>
      </c>
      <c r="K49" s="16">
        <v>179.3</v>
      </c>
      <c r="L49" s="33">
        <f>IF(C49=0,"N/A",ABS(F49-C49)/C49*100)</f>
        <v>0.126582278481017</v>
      </c>
      <c r="M49" s="33">
        <f>IF(D49=0,"N/A",ABS(G49-D49)/D49*100)</f>
        <v>0.66225165562914</v>
      </c>
      <c r="N49" s="33">
        <f>IF(E49=0,"N/A",ABS(H49-E49)/E49*100)</f>
        <v>0.391280044717713</v>
      </c>
      <c r="O49" s="34"/>
    </row>
    <row r="50" ht="15" customHeight="1" spans="1:15">
      <c r="A50" s="35"/>
      <c r="B50" s="35" t="s">
        <v>91</v>
      </c>
      <c r="C50" s="20">
        <f t="shared" ref="C50:N50" si="5">IFERROR(AVERAGE(C47:C49),"N/A")</f>
        <v>237.633333333333</v>
      </c>
      <c r="D50" s="36">
        <f t="shared" si="5"/>
        <v>0.756333333333333</v>
      </c>
      <c r="E50" s="20">
        <f t="shared" si="5"/>
        <v>179.733333333333</v>
      </c>
      <c r="F50" s="20">
        <f t="shared" si="5"/>
        <v>237.933333333333</v>
      </c>
      <c r="G50" s="36">
        <f t="shared" si="5"/>
        <v>0.753333333333333</v>
      </c>
      <c r="H50" s="20">
        <f t="shared" si="5"/>
        <v>180.333333333333</v>
      </c>
      <c r="I50" s="20">
        <f t="shared" si="5"/>
        <v>237.766666666667</v>
      </c>
      <c r="J50" s="36">
        <f t="shared" si="5"/>
        <v>0.753333333333333</v>
      </c>
      <c r="K50" s="20">
        <f t="shared" si="5"/>
        <v>180.233333333333</v>
      </c>
      <c r="L50" s="19">
        <f t="shared" si="5"/>
        <v>0.126245367813671</v>
      </c>
      <c r="M50" s="19">
        <f t="shared" si="5"/>
        <v>0.661085206213677</v>
      </c>
      <c r="N50" s="19">
        <f t="shared" si="5"/>
        <v>0.333924840917191</v>
      </c>
      <c r="O50" s="35"/>
    </row>
    <row r="51" ht="15" customHeight="1" spans="1:15">
      <c r="A51" s="31" t="s">
        <v>59</v>
      </c>
      <c r="B51" s="37" t="s">
        <v>98</v>
      </c>
      <c r="C51" s="16">
        <v>237.8</v>
      </c>
      <c r="D51" s="16">
        <v>0.973</v>
      </c>
      <c r="E51" s="16">
        <v>231.4</v>
      </c>
      <c r="F51" s="16">
        <v>237.1</v>
      </c>
      <c r="G51" s="16">
        <v>0.97</v>
      </c>
      <c r="H51" s="16">
        <v>230.2</v>
      </c>
      <c r="I51" s="16">
        <v>238.2</v>
      </c>
      <c r="J51" s="16">
        <v>0.97</v>
      </c>
      <c r="K51" s="16">
        <v>232.3</v>
      </c>
      <c r="L51" s="33">
        <f>IF(C51=0,"N/A",ABS(F51-C51)/C51*100)</f>
        <v>0.294365012615651</v>
      </c>
      <c r="M51" s="33">
        <f>IF(D51=0,"N/A",ABS(G51-D51)/D51*100)</f>
        <v>0.308324768756424</v>
      </c>
      <c r="N51" s="33">
        <f>IF(E51=0,"N/A",ABS(H51-E51)/E51*100)</f>
        <v>0.518582541054459</v>
      </c>
      <c r="O51" s="34"/>
    </row>
    <row r="52" ht="14.25" customHeight="1" spans="1:15">
      <c r="A52" s="31"/>
      <c r="B52" s="31"/>
      <c r="C52" s="38">
        <v>238</v>
      </c>
      <c r="D52" s="16">
        <v>0.974</v>
      </c>
      <c r="E52" s="16">
        <v>231.8</v>
      </c>
      <c r="F52" s="16">
        <v>238.3</v>
      </c>
      <c r="G52" s="16">
        <v>0.97</v>
      </c>
      <c r="H52" s="16">
        <v>232.6</v>
      </c>
      <c r="I52" s="16">
        <v>238.3</v>
      </c>
      <c r="J52" s="16">
        <v>0.97</v>
      </c>
      <c r="K52" s="16">
        <v>232.2</v>
      </c>
      <c r="L52" s="33">
        <f>IF(C52=0,"N/A",ABS(F52-C52)/C52*100)</f>
        <v>0.126050420168072</v>
      </c>
      <c r="M52" s="33">
        <f>IF(D52=0,"N/A",ABS(G52-D52)/D52*100)</f>
        <v>0.410677618069816</v>
      </c>
      <c r="N52" s="33">
        <f>IF(E52=0,"N/A",ABS(H52-E52)/E52*100)</f>
        <v>0.345125107851589</v>
      </c>
      <c r="O52" s="34"/>
    </row>
    <row r="53" ht="14.25" customHeight="1" spans="1:15">
      <c r="A53" s="31"/>
      <c r="B53" s="31"/>
      <c r="C53" s="16">
        <v>237.8</v>
      </c>
      <c r="D53" s="16">
        <v>0.973</v>
      </c>
      <c r="E53" s="16">
        <v>231.4</v>
      </c>
      <c r="F53" s="16">
        <v>238.1</v>
      </c>
      <c r="G53" s="16">
        <v>0.97</v>
      </c>
      <c r="H53" s="16">
        <v>232.1</v>
      </c>
      <c r="I53" s="16">
        <v>238.2</v>
      </c>
      <c r="J53" s="16">
        <v>0.97</v>
      </c>
      <c r="K53" s="16">
        <v>232.2</v>
      </c>
      <c r="L53" s="33">
        <f>IF(C53=0,"N/A",ABS(F53-C53)/C53*100)</f>
        <v>0.126156433978126</v>
      </c>
      <c r="M53" s="33">
        <f>IF(D53=0,"N/A",ABS(G53-D53)/D53*100)</f>
        <v>0.308324768756424</v>
      </c>
      <c r="N53" s="33">
        <f>IF(E53=0,"N/A",ABS(H53-E53)/E53*100)</f>
        <v>0.302506482281758</v>
      </c>
      <c r="O53" s="34"/>
    </row>
    <row r="54" ht="15" customHeight="1" spans="1:15">
      <c r="A54" s="35"/>
      <c r="B54" s="35" t="s">
        <v>91</v>
      </c>
      <c r="C54" s="20">
        <f t="shared" ref="C54:N54" si="6">IFERROR(AVERAGE(C51:C53),"N/A")</f>
        <v>237.866666666667</v>
      </c>
      <c r="D54" s="36">
        <f t="shared" si="6"/>
        <v>0.973333333333333</v>
      </c>
      <c r="E54" s="20">
        <f t="shared" si="6"/>
        <v>231.533333333333</v>
      </c>
      <c r="F54" s="20">
        <f t="shared" si="6"/>
        <v>237.833333333333</v>
      </c>
      <c r="G54" s="36">
        <f t="shared" si="6"/>
        <v>0.97</v>
      </c>
      <c r="H54" s="20">
        <f t="shared" si="6"/>
        <v>231.633333333333</v>
      </c>
      <c r="I54" s="20">
        <f t="shared" si="6"/>
        <v>238.233333333333</v>
      </c>
      <c r="J54" s="36">
        <f t="shared" si="6"/>
        <v>0.97</v>
      </c>
      <c r="K54" s="20">
        <f t="shared" si="6"/>
        <v>232.233333333333</v>
      </c>
      <c r="L54" s="19">
        <f t="shared" si="6"/>
        <v>0.182190622253949</v>
      </c>
      <c r="M54" s="19">
        <f t="shared" si="6"/>
        <v>0.342442385194221</v>
      </c>
      <c r="N54" s="19">
        <f t="shared" si="6"/>
        <v>0.388738043729269</v>
      </c>
      <c r="O54" s="35"/>
    </row>
    <row r="55" ht="15" customHeight="1" spans="1:15">
      <c r="A55" s="31" t="s">
        <v>62</v>
      </c>
      <c r="B55" s="37" t="s">
        <v>99</v>
      </c>
      <c r="C55" s="38">
        <v>238</v>
      </c>
      <c r="D55" s="16">
        <v>1.082</v>
      </c>
      <c r="E55" s="16">
        <v>257.5</v>
      </c>
      <c r="F55" s="16">
        <v>238.5</v>
      </c>
      <c r="G55" s="16">
        <v>1.08</v>
      </c>
      <c r="H55" s="16">
        <v>258.7</v>
      </c>
      <c r="I55" s="16">
        <v>238.4</v>
      </c>
      <c r="J55" s="16">
        <v>1.08</v>
      </c>
      <c r="K55" s="16">
        <v>258.7</v>
      </c>
      <c r="L55" s="33">
        <f>IF(C55=0,"N/A",ABS(F55-C55)/C55*100)</f>
        <v>0.210084033613445</v>
      </c>
      <c r="M55" s="33">
        <f>IF(D55=0,"N/A",ABS(G55-D55)/D55*100)</f>
        <v>0.184842883548984</v>
      </c>
      <c r="N55" s="33">
        <f>IF(E55=0,"N/A",ABS(H55-E55)/E55*100)</f>
        <v>0.466019417475724</v>
      </c>
      <c r="O55" s="34"/>
    </row>
    <row r="56" ht="14.25" customHeight="1" spans="1:15">
      <c r="A56" s="31"/>
      <c r="B56" s="31"/>
      <c r="C56" s="16">
        <v>238.4</v>
      </c>
      <c r="D56" s="16">
        <v>1.084</v>
      </c>
      <c r="E56" s="16">
        <v>258.4</v>
      </c>
      <c r="F56" s="16">
        <v>238.6</v>
      </c>
      <c r="G56" s="16">
        <v>1.08</v>
      </c>
      <c r="H56" s="16">
        <v>259.1</v>
      </c>
      <c r="I56" s="16">
        <v>238.7</v>
      </c>
      <c r="J56" s="16">
        <v>1.08</v>
      </c>
      <c r="K56" s="16">
        <v>259.2</v>
      </c>
      <c r="L56" s="33">
        <f>IF(C56=0,"N/A",ABS(F56-C56)/C56*100)</f>
        <v>0.0838926174496597</v>
      </c>
      <c r="M56" s="33">
        <f>IF(D56=0,"N/A",ABS(G56-D56)/D56*100)</f>
        <v>0.369003690036901</v>
      </c>
      <c r="N56" s="33">
        <f>IF(E56=0,"N/A",ABS(H56-E56)/E56*100)</f>
        <v>0.270897832817355</v>
      </c>
      <c r="O56" s="34"/>
    </row>
    <row r="57" ht="14.25" customHeight="1" spans="1:15">
      <c r="A57" s="31"/>
      <c r="B57" s="31"/>
      <c r="C57" s="16">
        <v>238.3</v>
      </c>
      <c r="D57" s="16">
        <v>1.084</v>
      </c>
      <c r="E57" s="16">
        <v>258.3</v>
      </c>
      <c r="F57" s="16">
        <v>238.7</v>
      </c>
      <c r="G57" s="16">
        <v>1.08</v>
      </c>
      <c r="H57" s="16">
        <v>259.2</v>
      </c>
      <c r="I57" s="16">
        <v>238.5</v>
      </c>
      <c r="J57" s="16">
        <v>1.08</v>
      </c>
      <c r="K57" s="16">
        <v>258.8</v>
      </c>
      <c r="L57" s="33">
        <f>IF(C57=0,"N/A",ABS(F57-C57)/C57*100)</f>
        <v>0.167855644146025</v>
      </c>
      <c r="M57" s="33">
        <f>IF(D57=0,"N/A",ABS(G57-D57)/D57*100)</f>
        <v>0.369003690036901</v>
      </c>
      <c r="N57" s="33">
        <f>IF(E57=0,"N/A",ABS(H57-E57)/E57*100)</f>
        <v>0.34843205574912</v>
      </c>
      <c r="O57" s="34"/>
    </row>
    <row r="58" ht="15" customHeight="1" spans="1:15">
      <c r="A58" s="35"/>
      <c r="B58" s="35" t="s">
        <v>91</v>
      </c>
      <c r="C58" s="20">
        <f t="shared" ref="C58:N58" si="7">IFERROR(AVERAGE(C55:C57),"N/A")</f>
        <v>238.233333333333</v>
      </c>
      <c r="D58" s="36">
        <f t="shared" si="7"/>
        <v>1.08333333333333</v>
      </c>
      <c r="E58" s="20">
        <f t="shared" si="7"/>
        <v>258.066666666667</v>
      </c>
      <c r="F58" s="20">
        <f t="shared" si="7"/>
        <v>238.6</v>
      </c>
      <c r="G58" s="36">
        <f t="shared" si="7"/>
        <v>1.08</v>
      </c>
      <c r="H58" s="20">
        <f t="shared" si="7"/>
        <v>259</v>
      </c>
      <c r="I58" s="20">
        <f t="shared" si="7"/>
        <v>238.533333333333</v>
      </c>
      <c r="J58" s="36">
        <f t="shared" si="7"/>
        <v>1.08</v>
      </c>
      <c r="K58" s="20">
        <f t="shared" si="7"/>
        <v>258.9</v>
      </c>
      <c r="L58" s="19">
        <f t="shared" si="7"/>
        <v>0.153944098403043</v>
      </c>
      <c r="M58" s="19">
        <f t="shared" si="7"/>
        <v>0.307616754540928</v>
      </c>
      <c r="N58" s="19">
        <f t="shared" si="7"/>
        <v>0.361783102014066</v>
      </c>
      <c r="O58" s="35"/>
    </row>
    <row r="59" ht="15" customHeight="1" spans="1:15">
      <c r="A59" s="31" t="s">
        <v>64</v>
      </c>
      <c r="B59" s="37" t="s">
        <v>100</v>
      </c>
      <c r="C59" s="16">
        <v>238.1</v>
      </c>
      <c r="D59" s="16">
        <v>1.138</v>
      </c>
      <c r="E59" s="16">
        <v>270.9</v>
      </c>
      <c r="F59" s="16">
        <v>238.4</v>
      </c>
      <c r="G59" s="16">
        <v>1.14</v>
      </c>
      <c r="H59" s="38">
        <v>272</v>
      </c>
      <c r="I59" s="16">
        <v>238.6</v>
      </c>
      <c r="J59" s="16">
        <v>1.14</v>
      </c>
      <c r="K59" s="16">
        <v>272.2</v>
      </c>
      <c r="L59" s="33">
        <f>IF(C59=0,"N/A",ABS(F59-C59)/C59*100)</f>
        <v>0.125997480050404</v>
      </c>
      <c r="M59" s="33">
        <f>IF(D59=0,"N/A",ABS(G59-D59)/D59*100)</f>
        <v>0.175746924428823</v>
      </c>
      <c r="N59" s="33">
        <f>IF(E59=0,"N/A",ABS(H59-E59)/E59*100)</f>
        <v>0.406053894425996</v>
      </c>
      <c r="O59" s="34"/>
    </row>
    <row r="60" ht="14.25" customHeight="1" spans="1:15">
      <c r="A60" s="31"/>
      <c r="B60" s="31"/>
      <c r="C60" s="38">
        <v>238</v>
      </c>
      <c r="D60" s="16">
        <v>1.137</v>
      </c>
      <c r="E60" s="16">
        <v>270.6</v>
      </c>
      <c r="F60" s="16">
        <v>238.4</v>
      </c>
      <c r="G60" s="16">
        <v>1.14</v>
      </c>
      <c r="H60" s="38">
        <v>272</v>
      </c>
      <c r="I60" s="16">
        <v>238.4</v>
      </c>
      <c r="J60" s="16">
        <v>1.14</v>
      </c>
      <c r="K60" s="16">
        <v>271.4</v>
      </c>
      <c r="L60" s="33">
        <f>IF(C60=0,"N/A",ABS(F60-C60)/C60*100)</f>
        <v>0.168067226890759</v>
      </c>
      <c r="M60" s="33">
        <f>IF(D60=0,"N/A",ABS(G60-D60)/D60*100)</f>
        <v>0.263852242744054</v>
      </c>
      <c r="N60" s="33">
        <f>IF(E60=0,"N/A",ABS(H60-E60)/E60*100)</f>
        <v>0.517368810051728</v>
      </c>
      <c r="O60" s="34"/>
    </row>
    <row r="61" ht="14.25" customHeight="1" spans="1:15">
      <c r="A61" s="31"/>
      <c r="B61" s="31"/>
      <c r="C61" s="38">
        <v>238</v>
      </c>
      <c r="D61" s="16">
        <v>1.137</v>
      </c>
      <c r="E61" s="16">
        <v>270.6</v>
      </c>
      <c r="F61" s="16">
        <v>238.4</v>
      </c>
      <c r="G61" s="16">
        <v>1.14</v>
      </c>
      <c r="H61" s="16">
        <v>271.9</v>
      </c>
      <c r="I61" s="16">
        <v>238.5</v>
      </c>
      <c r="J61" s="16">
        <v>1.14</v>
      </c>
      <c r="K61" s="16">
        <v>271.9</v>
      </c>
      <c r="L61" s="33">
        <f>IF(C61=0,"N/A",ABS(F61-C61)/C61*100)</f>
        <v>0.168067226890759</v>
      </c>
      <c r="M61" s="33">
        <f>IF(D61=0,"N/A",ABS(G61-D61)/D61*100)</f>
        <v>0.263852242744054</v>
      </c>
      <c r="N61" s="33">
        <f>IF(E61=0,"N/A",ABS(H61-E61)/E61*100)</f>
        <v>0.480413895048025</v>
      </c>
      <c r="O61" s="34"/>
    </row>
    <row r="62" ht="15" customHeight="1" spans="1:15">
      <c r="A62" s="35"/>
      <c r="B62" s="35" t="s">
        <v>91</v>
      </c>
      <c r="C62" s="20">
        <f t="shared" ref="C62:N62" si="8">IFERROR(AVERAGE(C59:C61),"N/A")</f>
        <v>238.033333333333</v>
      </c>
      <c r="D62" s="36">
        <f t="shared" si="8"/>
        <v>1.13733333333333</v>
      </c>
      <c r="E62" s="20">
        <f t="shared" si="8"/>
        <v>270.7</v>
      </c>
      <c r="F62" s="20">
        <f t="shared" si="8"/>
        <v>238.4</v>
      </c>
      <c r="G62" s="36">
        <f t="shared" si="8"/>
        <v>1.14</v>
      </c>
      <c r="H62" s="20">
        <f t="shared" si="8"/>
        <v>271.966666666667</v>
      </c>
      <c r="I62" s="20">
        <f t="shared" si="8"/>
        <v>238.5</v>
      </c>
      <c r="J62" s="36">
        <f t="shared" si="8"/>
        <v>1.14</v>
      </c>
      <c r="K62" s="20">
        <f t="shared" si="8"/>
        <v>271.833333333333</v>
      </c>
      <c r="L62" s="19">
        <f t="shared" si="8"/>
        <v>0.154043977943974</v>
      </c>
      <c r="M62" s="19">
        <f t="shared" si="8"/>
        <v>0.234483803305643</v>
      </c>
      <c r="N62" s="19">
        <f t="shared" si="8"/>
        <v>0.46794553317525</v>
      </c>
      <c r="O62" s="35"/>
    </row>
    <row r="63" ht="15" customHeight="1" spans="1:15">
      <c r="A63" s="31" t="s">
        <v>69</v>
      </c>
      <c r="B63" s="37" t="s">
        <v>101</v>
      </c>
      <c r="C63" s="16">
        <v>238.7</v>
      </c>
      <c r="D63" s="16">
        <v>0.164</v>
      </c>
      <c r="E63" s="16">
        <v>39.1</v>
      </c>
      <c r="F63" s="16">
        <v>239.1</v>
      </c>
      <c r="G63" s="16">
        <v>0.16</v>
      </c>
      <c r="H63" s="16">
        <v>40.2</v>
      </c>
      <c r="I63" s="16">
        <v>239.2</v>
      </c>
      <c r="J63" s="16">
        <v>0.16</v>
      </c>
      <c r="K63" s="16">
        <v>40.2</v>
      </c>
      <c r="L63" s="33">
        <f>IF(C63=0,"N/A",ABS(F63-C63)/C63*100)</f>
        <v>0.167574361122751</v>
      </c>
      <c r="M63" s="33">
        <f>IF(D63=0,"N/A",ABS(G63-D63)/D63*100)</f>
        <v>2.4390243902439</v>
      </c>
      <c r="N63" s="33">
        <f>IF(E63=0,"N/A",ABS(H63-E63)/E63*100)</f>
        <v>2.81329923273658</v>
      </c>
      <c r="O63" s="34"/>
    </row>
    <row r="64" ht="14.25" customHeight="1" spans="1:15">
      <c r="A64" s="31"/>
      <c r="B64" s="31"/>
      <c r="C64" s="38">
        <v>239</v>
      </c>
      <c r="D64" s="16">
        <v>0.164</v>
      </c>
      <c r="E64" s="16">
        <v>39.2</v>
      </c>
      <c r="F64" s="16">
        <v>239.3</v>
      </c>
      <c r="G64" s="16">
        <v>0.16</v>
      </c>
      <c r="H64" s="16">
        <v>40.2</v>
      </c>
      <c r="I64" s="16">
        <v>239.3</v>
      </c>
      <c r="J64" s="16">
        <v>0.16</v>
      </c>
      <c r="K64" s="16">
        <v>40.2</v>
      </c>
      <c r="L64" s="33">
        <f>IF(C64=0,"N/A",ABS(F64-C64)/C64*100)</f>
        <v>0.125523012552306</v>
      </c>
      <c r="M64" s="33">
        <f>IF(D64=0,"N/A",ABS(G64-D64)/D64*100)</f>
        <v>2.4390243902439</v>
      </c>
      <c r="N64" s="33">
        <f>IF(E64=0,"N/A",ABS(H64-E64)/E64*100)</f>
        <v>2.55102040816326</v>
      </c>
      <c r="O64" s="34"/>
    </row>
    <row r="65" ht="14.25" customHeight="1" spans="1:15">
      <c r="A65" s="31"/>
      <c r="B65" s="31"/>
      <c r="C65" s="16">
        <v>239.1</v>
      </c>
      <c r="D65" s="16">
        <v>0.164</v>
      </c>
      <c r="E65" s="16">
        <v>39.2</v>
      </c>
      <c r="F65" s="16">
        <v>239.3</v>
      </c>
      <c r="G65" s="16">
        <v>0.16</v>
      </c>
      <c r="H65" s="16">
        <v>40.2</v>
      </c>
      <c r="I65" s="16">
        <v>239.3</v>
      </c>
      <c r="J65" s="16">
        <v>0.16</v>
      </c>
      <c r="K65" s="16">
        <v>40.2</v>
      </c>
      <c r="L65" s="33">
        <f>IF(C65=0,"N/A",ABS(F65-C65)/C65*100)</f>
        <v>0.0836470096194132</v>
      </c>
      <c r="M65" s="33">
        <f>IF(D65=0,"N/A",ABS(G65-D65)/D65*100)</f>
        <v>2.4390243902439</v>
      </c>
      <c r="N65" s="33">
        <f>IF(E65=0,"N/A",ABS(H65-E65)/E65*100)</f>
        <v>2.55102040816326</v>
      </c>
      <c r="O65" s="34"/>
    </row>
    <row r="66" ht="15" customHeight="1" spans="1:15">
      <c r="A66" s="35"/>
      <c r="B66" s="35" t="s">
        <v>91</v>
      </c>
      <c r="C66" s="20">
        <f t="shared" ref="C66:N66" si="9">IFERROR(AVERAGE(C63:C65),"N/A")</f>
        <v>238.933333333333</v>
      </c>
      <c r="D66" s="36">
        <f t="shared" si="9"/>
        <v>0.164</v>
      </c>
      <c r="E66" s="20">
        <f t="shared" si="9"/>
        <v>39.1666666666667</v>
      </c>
      <c r="F66" s="20">
        <f t="shared" si="9"/>
        <v>239.233333333333</v>
      </c>
      <c r="G66" s="36">
        <f t="shared" si="9"/>
        <v>0.16</v>
      </c>
      <c r="H66" s="20">
        <f t="shared" si="9"/>
        <v>40.2</v>
      </c>
      <c r="I66" s="20">
        <f t="shared" si="9"/>
        <v>239.266666666667</v>
      </c>
      <c r="J66" s="36">
        <f t="shared" si="9"/>
        <v>0.16</v>
      </c>
      <c r="K66" s="20">
        <f t="shared" si="9"/>
        <v>40.2</v>
      </c>
      <c r="L66" s="19">
        <f t="shared" si="9"/>
        <v>0.125581461098157</v>
      </c>
      <c r="M66" s="19">
        <f t="shared" si="9"/>
        <v>2.4390243902439</v>
      </c>
      <c r="N66" s="19">
        <f t="shared" si="9"/>
        <v>2.63844668302104</v>
      </c>
      <c r="O66" s="35"/>
    </row>
    <row r="68" ht="15" customHeight="1" spans="1:15">
      <c r="A68" s="18" t="s">
        <v>102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ht="15" customHeight="1" spans="1:15">
      <c r="A69" s="12" t="s">
        <v>103</v>
      </c>
      <c r="B69" s="12" t="s">
        <v>104</v>
      </c>
      <c r="C69" s="12" t="s">
        <v>105</v>
      </c>
      <c r="D69" s="12" t="s">
        <v>106</v>
      </c>
    </row>
    <row r="70" ht="15" customHeight="1" spans="1:15">
      <c r="A70" s="22" t="s">
        <v>107</v>
      </c>
      <c r="B70" s="40">
        <f>AVERAGE(L34,L38,L42,L46,L50,L54,L58,L62,L66)</f>
        <v>0.12444488153455</v>
      </c>
      <c r="C70" s="40">
        <f>AVERAGE(M34,M38,M42,M46,M50,M54,M58,M62,M66)</f>
        <v>2.10461264855433</v>
      </c>
      <c r="D70" s="40">
        <f>AVERAGE(N34,N38,N42,N46,N50,N54,N58,N62,N66)</f>
        <v>2.62241695396249</v>
      </c>
    </row>
    <row r="71" ht="15" customHeight="1" spans="1:15">
      <c r="A71" s="22" t="s">
        <v>108</v>
      </c>
      <c r="B71" s="40">
        <f>MAX(L34,L38,L42,L46,L50,L54,L58,L62,L66)</f>
        <v>0.182190622253949</v>
      </c>
      <c r="C71" s="40">
        <f>MAX(M34,M38,M42,M46,M50,M54,M58,M62,M66)</f>
        <v>11.1111111111111</v>
      </c>
      <c r="D71" s="40">
        <f>MAX(N34,N38,N42,N46,N50,N54,N58,N62,N66)</f>
        <v>16.1526001859797</v>
      </c>
    </row>
    <row r="72" ht="15" customHeight="1" spans="1:15">
      <c r="A72" s="22" t="s">
        <v>109</v>
      </c>
      <c r="B72" s="40">
        <f>MIN(L34,L38,L42,L46,L50,L54,L58,L62,L66)</f>
        <v>0.0699633658333545</v>
      </c>
      <c r="C72" s="40">
        <f>MIN(M34,M38,M42,M46,M50,M54,M58,M62,M66)</f>
        <v>0.234483803305643</v>
      </c>
      <c r="D72" s="40">
        <f>MIN(N34,N38,N42,N46,N50,N54,N58,N62,N66)</f>
        <v>0.333924840917191</v>
      </c>
    </row>
    <row r="73" ht="39" customHeight="1" spans="1:15">
      <c r="A73" s="22" t="s">
        <v>110</v>
      </c>
      <c r="B73" s="41" t="str">
        <f>IF(B71&lt;5,"✅ 合格","❌ 不合格")</f>
        <v>✅ 合格</v>
      </c>
      <c r="C73" s="41" t="str">
        <f>IF(C71&lt;5,"✅ 合格","❌ 不合格")</f>
        <v>❌ 不合格</v>
      </c>
      <c r="D73" s="41" t="str">
        <f>IF(D71&lt;5,"✅ 合格","❌ 不合格")</f>
        <v>❌ 不合格</v>
      </c>
    </row>
    <row r="75" ht="29.25" customHeight="1" spans="1:15">
      <c r="A75" s="18" t="s">
        <v>111</v>
      </c>
      <c r="B75" s="18"/>
      <c r="C75" s="18"/>
      <c r="D75" s="18"/>
    </row>
    <row r="76" ht="15" customHeight="1" spans="1:15">
      <c r="A76" s="12" t="s">
        <v>103</v>
      </c>
      <c r="B76" s="12" t="s">
        <v>104</v>
      </c>
      <c r="C76" s="12" t="s">
        <v>105</v>
      </c>
      <c r="D76" s="12" t="s">
        <v>106</v>
      </c>
    </row>
    <row r="77" ht="15" customHeight="1" spans="1:15">
      <c r="A77" s="22" t="s">
        <v>107</v>
      </c>
      <c r="B77" s="42">
        <f>AVERAGE(L38,L42,L46,L50,L54,L58,L62)</f>
        <v>0.130059751509441</v>
      </c>
      <c r="C77" s="42">
        <f>AVERAGE(M38,M42,M46,M50,M54,M58,M62)</f>
        <v>0.770196905090562</v>
      </c>
      <c r="D77" s="42">
        <f>AVERAGE(N38,N42,N46,N50,N54,N58,N62)</f>
        <v>0.687243673808812</v>
      </c>
    </row>
    <row r="78" ht="15" customHeight="1" spans="1:15">
      <c r="A78" s="22" t="s">
        <v>108</v>
      </c>
      <c r="B78" s="42">
        <f>MAX(L38,L42,L46,L50,L54,L58,L62)</f>
        <v>0.182190622253949</v>
      </c>
      <c r="C78" s="42">
        <f>MAX(M38,M42,M46,M50,M54,M58,M62)</f>
        <v>2.47631352282515</v>
      </c>
      <c r="D78" s="42">
        <f>MAX(N38,N42,N46,N50,N54,N58,N62)</f>
        <v>1.81455524658003</v>
      </c>
    </row>
    <row r="79" ht="15" customHeight="1" spans="1:15">
      <c r="A79" s="22" t="s">
        <v>109</v>
      </c>
      <c r="B79" s="42">
        <f>MIN(L38,L42,L46,L50,L54,L58,L62)</f>
        <v>0.0699633658333545</v>
      </c>
      <c r="C79" s="42">
        <f>MIN(M38,M42,M46,M50,M54,M58,M62)</f>
        <v>0.234483803305643</v>
      </c>
      <c r="D79" s="42">
        <f>MIN(N38,N42,N46,N50,N54,N58,N62)</f>
        <v>0.333924840917191</v>
      </c>
    </row>
    <row r="80" ht="39" customHeight="1" spans="1:15">
      <c r="A80" s="22" t="s">
        <v>110</v>
      </c>
      <c r="B80" s="43" t="str">
        <f>IF(B78&lt;5,"✅ 合格","❌ 不合格")</f>
        <v>✅ 合格</v>
      </c>
      <c r="C80" s="43" t="str">
        <f>IF(C78&lt;5,"✅ 合格","❌ 不合格")</f>
        <v>✅ 合格</v>
      </c>
      <c r="D80" s="43" t="str">
        <f>IF(D78&lt;5,"✅ 合格","❌ 不合格")</f>
        <v>✅ 合格</v>
      </c>
    </row>
    <row r="82" ht="14.25" customHeight="1" spans="1:4">
      <c r="A82" s="44" t="s">
        <v>112</v>
      </c>
      <c r="B82" s="44"/>
      <c r="C82" s="44"/>
      <c r="D82" s="44"/>
    </row>
    <row r="83" ht="14.25" customHeight="1" spans="1:4">
      <c r="A83" s="44"/>
      <c r="B83" s="44"/>
      <c r="C83" s="44"/>
      <c r="D83" s="44"/>
    </row>
    <row r="84" ht="14.25" customHeight="1" spans="1:4">
      <c r="A84" s="44"/>
      <c r="B84" s="44"/>
      <c r="C84" s="44"/>
      <c r="D84" s="44"/>
    </row>
  </sheetData>
  <mergeCells count="28">
    <mergeCell ref="A1:O1"/>
    <mergeCell ref="A8:O8"/>
    <mergeCell ref="A10:G10"/>
    <mergeCell ref="A23:G23"/>
    <mergeCell ref="A25:O25"/>
    <mergeCell ref="A68:O68"/>
    <mergeCell ref="A75:D75"/>
    <mergeCell ref="A27:A29"/>
    <mergeCell ref="A31:A33"/>
    <mergeCell ref="A35:A37"/>
    <mergeCell ref="A39:A41"/>
    <mergeCell ref="A43:A45"/>
    <mergeCell ref="A47:A49"/>
    <mergeCell ref="A51:A53"/>
    <mergeCell ref="A55:A57"/>
    <mergeCell ref="A59:A61"/>
    <mergeCell ref="A63:A65"/>
    <mergeCell ref="B27:B29"/>
    <mergeCell ref="B31:B33"/>
    <mergeCell ref="B35:B37"/>
    <mergeCell ref="B39:B41"/>
    <mergeCell ref="B43:B45"/>
    <mergeCell ref="B47:B49"/>
    <mergeCell ref="B51:B53"/>
    <mergeCell ref="B55:B57"/>
    <mergeCell ref="B59:B61"/>
    <mergeCell ref="B63:B65"/>
    <mergeCell ref="A82:D8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A15" workbookViewId="0">
      <selection activeCell="F27" sqref="F27"/>
    </sheetView>
  </sheetViews>
  <sheetFormatPr defaultColWidth="8.69090909090909" defaultRowHeight="14.5"/>
  <cols>
    <col min="1" max="1" width="8" style="1" customWidth="1"/>
    <col min="2" max="2" width="22" style="1" customWidth="1"/>
    <col min="3" max="3" width="16" style="1" customWidth="1"/>
    <col min="4" max="6" width="13" style="1" customWidth="1"/>
    <col min="7" max="8" width="16" style="1" customWidth="1"/>
    <col min="9" max="9" width="13" style="1" customWidth="1"/>
  </cols>
  <sheetData>
    <row r="1" ht="21" customHeight="1" spans="1:9">
      <c r="A1" s="10" t="s">
        <v>113</v>
      </c>
      <c r="B1" s="10"/>
      <c r="C1" s="10"/>
      <c r="D1" s="10"/>
      <c r="E1" s="10"/>
      <c r="F1" s="10"/>
      <c r="G1" s="10"/>
      <c r="H1" s="10"/>
      <c r="I1" s="10"/>
    </row>
    <row r="3" ht="14.25" customHeight="1" spans="1:9">
      <c r="A3" s="11" t="s">
        <v>114</v>
      </c>
      <c r="B3" s="11"/>
      <c r="C3" s="11"/>
      <c r="D3" s="11"/>
      <c r="E3" s="11"/>
      <c r="F3" s="11"/>
      <c r="G3" s="11"/>
      <c r="H3" s="11"/>
      <c r="I3" s="11"/>
    </row>
    <row r="4" ht="13.5" customHeight="1" spans="1:9">
      <c r="A4" s="11" t="s">
        <v>115</v>
      </c>
      <c r="B4" s="11"/>
      <c r="C4" s="11"/>
      <c r="D4" s="11"/>
      <c r="E4" s="11"/>
      <c r="F4" s="11"/>
      <c r="G4" s="11"/>
      <c r="H4" s="11"/>
      <c r="I4" s="11"/>
    </row>
    <row r="6" ht="25.5" customHeight="1" spans="1:9">
      <c r="A6" s="12" t="s">
        <v>116</v>
      </c>
      <c r="B6" s="12" t="s">
        <v>117</v>
      </c>
      <c r="C6" s="12" t="s">
        <v>118</v>
      </c>
      <c r="D6" s="12" t="s">
        <v>119</v>
      </c>
      <c r="E6" s="13" t="s">
        <v>120</v>
      </c>
      <c r="F6" s="13" t="s">
        <v>121</v>
      </c>
      <c r="G6" s="12" t="s">
        <v>122</v>
      </c>
      <c r="H6" s="12" t="s">
        <v>123</v>
      </c>
      <c r="I6" s="12" t="s">
        <v>88</v>
      </c>
    </row>
    <row r="7" ht="25.5" customHeight="1" spans="1:9">
      <c r="A7" s="14" t="s">
        <v>124</v>
      </c>
      <c r="B7" s="15" t="s">
        <v>125</v>
      </c>
      <c r="C7" s="14" t="s">
        <v>126</v>
      </c>
      <c r="D7" s="16"/>
      <c r="E7" s="16">
        <v>11.44</v>
      </c>
      <c r="F7" s="16">
        <v>20.09</v>
      </c>
      <c r="G7" s="16" t="s">
        <v>127</v>
      </c>
      <c r="H7" s="16" t="s">
        <v>128</v>
      </c>
      <c r="I7" s="15" t="s">
        <v>129</v>
      </c>
    </row>
    <row r="8" ht="25.5" customHeight="1" spans="1:9">
      <c r="A8" s="14" t="s">
        <v>130</v>
      </c>
      <c r="B8" s="14" t="s">
        <v>131</v>
      </c>
      <c r="C8" s="14" t="s">
        <v>132</v>
      </c>
      <c r="D8" s="16"/>
      <c r="E8" s="16">
        <v>6.42</v>
      </c>
      <c r="F8" s="16">
        <v>14.72</v>
      </c>
      <c r="G8" s="16" t="s">
        <v>133</v>
      </c>
      <c r="H8" s="16" t="s">
        <v>134</v>
      </c>
      <c r="I8" s="15" t="s">
        <v>135</v>
      </c>
    </row>
    <row r="9" ht="25.5" customHeight="1" spans="1:9">
      <c r="A9" s="14" t="s">
        <v>136</v>
      </c>
      <c r="B9" s="14" t="s">
        <v>137</v>
      </c>
      <c r="C9" s="14" t="s">
        <v>138</v>
      </c>
      <c r="D9" s="16"/>
      <c r="E9" s="16">
        <v>14.07</v>
      </c>
      <c r="F9" s="16">
        <v>22.53</v>
      </c>
      <c r="G9" s="16" t="s">
        <v>139</v>
      </c>
      <c r="H9" s="16" t="s">
        <v>140</v>
      </c>
      <c r="I9" s="15" t="s">
        <v>141</v>
      </c>
    </row>
    <row r="10" ht="25.5" customHeight="1" spans="1:9">
      <c r="A10" s="14" t="s">
        <v>142</v>
      </c>
      <c r="B10" s="14" t="s">
        <v>143</v>
      </c>
      <c r="C10" s="14" t="s">
        <v>144</v>
      </c>
      <c r="D10" s="16"/>
      <c r="E10" s="16">
        <v>8.42</v>
      </c>
      <c r="F10" s="16">
        <v>22.38</v>
      </c>
      <c r="G10" s="16" t="s">
        <v>145</v>
      </c>
      <c r="H10" s="16" t="s">
        <v>146</v>
      </c>
      <c r="I10" s="15" t="s">
        <v>147</v>
      </c>
    </row>
    <row r="11" ht="25.5" customHeight="1" spans="1:9">
      <c r="A11" s="14" t="s">
        <v>148</v>
      </c>
      <c r="B11" s="14" t="s">
        <v>149</v>
      </c>
      <c r="C11" s="14" t="s">
        <v>150</v>
      </c>
      <c r="D11" s="16"/>
      <c r="E11" s="16">
        <v>7.57</v>
      </c>
      <c r="F11" s="16">
        <v>16.37</v>
      </c>
      <c r="G11" s="16" t="s">
        <v>151</v>
      </c>
      <c r="H11" s="16" t="s">
        <v>152</v>
      </c>
      <c r="I11" s="15" t="s">
        <v>153</v>
      </c>
    </row>
    <row r="12" ht="25.5" customHeight="1" spans="1:9">
      <c r="A12" s="14" t="s">
        <v>154</v>
      </c>
      <c r="B12" s="14" t="s">
        <v>155</v>
      </c>
      <c r="C12" s="14" t="s">
        <v>156</v>
      </c>
      <c r="D12" s="16"/>
      <c r="E12" s="16">
        <v>9.17</v>
      </c>
      <c r="F12" s="16">
        <v>17.62</v>
      </c>
      <c r="G12" s="16" t="s">
        <v>157</v>
      </c>
      <c r="H12" s="16" t="s">
        <v>158</v>
      </c>
      <c r="I12" s="15" t="s">
        <v>159</v>
      </c>
    </row>
    <row r="13" ht="25.5" customHeight="1" spans="1:9">
      <c r="A13" s="14" t="s">
        <v>160</v>
      </c>
      <c r="B13" s="15" t="s">
        <v>161</v>
      </c>
      <c r="C13" s="14" t="s">
        <v>162</v>
      </c>
      <c r="D13" s="16"/>
      <c r="E13" s="16">
        <v>14.02</v>
      </c>
      <c r="F13" s="16">
        <v>22.19</v>
      </c>
      <c r="G13" s="16" t="s">
        <v>163</v>
      </c>
      <c r="H13" s="16" t="s">
        <v>164</v>
      </c>
      <c r="I13" s="15" t="s">
        <v>165</v>
      </c>
    </row>
    <row r="14" ht="25.5" customHeight="1" spans="1:9">
      <c r="A14" s="14" t="s">
        <v>166</v>
      </c>
      <c r="B14" s="14" t="s">
        <v>167</v>
      </c>
      <c r="C14" s="14" t="s">
        <v>168</v>
      </c>
      <c r="D14" s="16"/>
      <c r="E14" s="16">
        <v>13.44</v>
      </c>
      <c r="F14" s="16">
        <v>22.05</v>
      </c>
      <c r="G14" s="16" t="s">
        <v>169</v>
      </c>
      <c r="H14" s="16" t="s">
        <v>170</v>
      </c>
      <c r="I14" s="15" t="s">
        <v>165</v>
      </c>
    </row>
    <row r="15" ht="25.5" customHeight="1" spans="1:9">
      <c r="A15" s="14" t="s">
        <v>171</v>
      </c>
      <c r="B15" s="14" t="s">
        <v>172</v>
      </c>
      <c r="C15" s="14" t="s">
        <v>173</v>
      </c>
      <c r="D15" s="16"/>
      <c r="E15" s="16">
        <v>6.92</v>
      </c>
      <c r="F15" s="16">
        <v>14.67</v>
      </c>
      <c r="G15" s="16" t="s">
        <v>174</v>
      </c>
      <c r="H15" s="16" t="s">
        <v>175</v>
      </c>
      <c r="I15" s="15" t="s">
        <v>176</v>
      </c>
    </row>
    <row r="16" ht="15" customHeight="1" spans="1:9">
      <c r="A16" s="14" t="s">
        <v>177</v>
      </c>
      <c r="B16" s="15" t="s">
        <v>178</v>
      </c>
      <c r="C16" s="15" t="s">
        <v>179</v>
      </c>
      <c r="D16" s="16"/>
      <c r="E16" s="16">
        <v>10.77</v>
      </c>
      <c r="F16" s="16">
        <v>25.5</v>
      </c>
      <c r="G16" s="16" t="s">
        <v>180</v>
      </c>
      <c r="H16" s="16" t="s">
        <v>181</v>
      </c>
      <c r="I16" s="15" t="s">
        <v>182</v>
      </c>
    </row>
    <row r="17" ht="15" customHeight="1" spans="1:9">
      <c r="A17" s="14" t="s">
        <v>183</v>
      </c>
      <c r="B17" s="15" t="s">
        <v>184</v>
      </c>
      <c r="C17" s="14" t="s">
        <v>185</v>
      </c>
      <c r="D17" s="16"/>
      <c r="E17" s="16">
        <v>9.26</v>
      </c>
      <c r="F17" s="16">
        <v>10.39</v>
      </c>
      <c r="G17" s="16" t="s">
        <v>186</v>
      </c>
      <c r="H17" s="16" t="s">
        <v>187</v>
      </c>
      <c r="I17" s="15" t="s">
        <v>182</v>
      </c>
    </row>
    <row r="19" ht="15" customHeight="1" spans="1:9">
      <c r="A19" s="18" t="s">
        <v>188</v>
      </c>
      <c r="B19" s="18"/>
      <c r="C19" s="18"/>
      <c r="D19" s="18"/>
      <c r="E19" s="18"/>
      <c r="F19" s="18"/>
      <c r="G19" s="18"/>
      <c r="H19" s="18"/>
      <c r="I19" s="18"/>
    </row>
    <row r="20" ht="25.5" customHeight="1" spans="1:9">
      <c r="A20" s="12" t="s">
        <v>189</v>
      </c>
      <c r="B20" s="12" t="s">
        <v>190</v>
      </c>
      <c r="C20" s="12" t="s">
        <v>191</v>
      </c>
      <c r="D20" s="12" t="s">
        <v>192</v>
      </c>
      <c r="E20" s="12" t="s">
        <v>193</v>
      </c>
      <c r="F20" s="12" t="s">
        <v>194</v>
      </c>
      <c r="G20" s="12" t="s">
        <v>195</v>
      </c>
      <c r="H20" s="12" t="s">
        <v>196</v>
      </c>
      <c r="I20" s="12" t="s">
        <v>197</v>
      </c>
    </row>
    <row r="21" ht="15" customHeight="1" spans="1:9">
      <c r="A21" s="14" t="s">
        <v>198</v>
      </c>
      <c r="B21" s="15" t="s">
        <v>199</v>
      </c>
      <c r="C21" s="16">
        <v>11.25</v>
      </c>
      <c r="D21" s="16">
        <v>22.43</v>
      </c>
      <c r="E21" s="16">
        <v>10.84</v>
      </c>
      <c r="F21" s="16">
        <v>22.3</v>
      </c>
      <c r="G21" s="16">
        <v>9.18</v>
      </c>
      <c r="H21" s="16">
        <v>20.68</v>
      </c>
      <c r="I21" s="20">
        <f>IFERROR(AVERAGE(D21,F21,H21),"N/A")</f>
        <v>21.8033333333333</v>
      </c>
    </row>
    <row r="22" ht="15" customHeight="1" spans="1:9">
      <c r="A22" s="14" t="s">
        <v>200</v>
      </c>
      <c r="B22" s="15" t="s">
        <v>201</v>
      </c>
      <c r="C22" s="16">
        <v>13.6</v>
      </c>
      <c r="D22" s="16">
        <v>24.9</v>
      </c>
      <c r="E22" s="16">
        <v>13.8</v>
      </c>
      <c r="F22" s="16">
        <v>24.72</v>
      </c>
      <c r="G22" s="16">
        <v>10.16</v>
      </c>
      <c r="H22" s="16">
        <v>21.1</v>
      </c>
      <c r="I22" s="20">
        <f>IFERROR(AVERAGE(D22,F22,H22),"N/A")</f>
        <v>23.5733333333333</v>
      </c>
    </row>
    <row r="23" ht="15" customHeight="1" spans="1:9">
      <c r="A23" s="14" t="s">
        <v>202</v>
      </c>
      <c r="B23" s="14" t="s">
        <v>203</v>
      </c>
      <c r="C23" s="16">
        <v>8.86</v>
      </c>
      <c r="D23" s="16">
        <v>17.47</v>
      </c>
      <c r="E23" s="16">
        <v>8.62</v>
      </c>
      <c r="F23" s="16">
        <v>18.53</v>
      </c>
      <c r="G23" s="16">
        <v>14.55</v>
      </c>
      <c r="H23" s="16">
        <v>25.44</v>
      </c>
      <c r="I23" s="20">
        <f>IFERROR(AVERAGE(D23,F23,H23),"N/A")</f>
        <v>20.48</v>
      </c>
    </row>
    <row r="25" ht="15" customHeight="1" spans="1:9">
      <c r="A25" s="18" t="s">
        <v>204</v>
      </c>
      <c r="B25" s="18"/>
      <c r="C25" s="18"/>
      <c r="D25" s="18"/>
      <c r="E25" s="18"/>
      <c r="F25" s="18"/>
      <c r="G25" s="18"/>
      <c r="H25" s="18"/>
      <c r="I25" s="18"/>
    </row>
    <row r="26" ht="15" customHeight="1" spans="1:9">
      <c r="A26" s="12" t="s">
        <v>103</v>
      </c>
      <c r="B26" s="13" t="s">
        <v>205</v>
      </c>
      <c r="C26" s="13" t="s">
        <v>206</v>
      </c>
    </row>
    <row r="27" ht="25.5" customHeight="1" spans="1:9">
      <c r="A27" s="22" t="s">
        <v>207</v>
      </c>
      <c r="B27" s="20">
        <f>AVERAGE(E7:E15)</f>
        <v>10.1633333333333</v>
      </c>
      <c r="C27" s="20">
        <f>AVERAGE(F7:F15)</f>
        <v>19.18</v>
      </c>
    </row>
    <row r="28" ht="25.5" customHeight="1" spans="1:9">
      <c r="A28" s="22" t="s">
        <v>208</v>
      </c>
      <c r="B28" s="20">
        <f>MAX(E7:E15)</f>
        <v>14.07</v>
      </c>
      <c r="C28" s="20">
        <f>MAX(F7:F15)</f>
        <v>22.53</v>
      </c>
    </row>
    <row r="29" ht="25.5" customHeight="1" spans="1:9">
      <c r="A29" s="22" t="s">
        <v>209</v>
      </c>
      <c r="B29" s="20">
        <f>MIN(E7:E15)</f>
        <v>6.42</v>
      </c>
      <c r="C29" s="20">
        <f>MIN(F7:F15)</f>
        <v>14.67</v>
      </c>
    </row>
    <row r="30" ht="25.5" customHeight="1" spans="1:9">
      <c r="A30" s="22" t="s">
        <v>210</v>
      </c>
      <c r="B30" s="20">
        <f>E16</f>
        <v>10.77</v>
      </c>
      <c r="C30" s="20">
        <f>F16</f>
        <v>25.5</v>
      </c>
    </row>
    <row r="31" ht="25.5" customHeight="1" spans="1:9">
      <c r="A31" s="22" t="s">
        <v>211</v>
      </c>
      <c r="B31" s="20">
        <f>E17</f>
        <v>9.26</v>
      </c>
      <c r="C31" s="20">
        <f>F17</f>
        <v>10.39</v>
      </c>
    </row>
    <row r="32" ht="78" customHeight="1" spans="1:9">
      <c r="A32" s="22" t="s">
        <v>212</v>
      </c>
      <c r="B32" s="23" t="s">
        <v>213</v>
      </c>
      <c r="C32" s="20">
        <f>C27-B27</f>
        <v>9.01666666666667</v>
      </c>
    </row>
  </sheetData>
  <mergeCells count="5">
    <mergeCell ref="A1:I1"/>
    <mergeCell ref="A3:I3"/>
    <mergeCell ref="A4:I4"/>
    <mergeCell ref="A19:I19"/>
    <mergeCell ref="A25:I2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F14" sqref="F14"/>
    </sheetView>
  </sheetViews>
  <sheetFormatPr defaultColWidth="8.69090909090909" defaultRowHeight="14.5" outlineLevelCol="7"/>
  <cols>
    <col min="1" max="1" width="10" style="1" customWidth="1"/>
    <col min="2" max="2" width="16" style="1" customWidth="1"/>
    <col min="3" max="3" width="14" style="1" customWidth="1"/>
    <col min="4" max="5" width="16" style="1" customWidth="1"/>
    <col min="6" max="6" width="12" style="1" customWidth="1"/>
    <col min="7" max="7" width="14" style="1" customWidth="1"/>
    <col min="8" max="8" width="22" style="1" customWidth="1"/>
  </cols>
  <sheetData>
    <row r="1" ht="21" customHeight="1" spans="1:8">
      <c r="A1" s="10" t="s">
        <v>214</v>
      </c>
      <c r="B1" s="10"/>
      <c r="C1" s="10"/>
      <c r="D1" s="10"/>
      <c r="E1" s="10"/>
      <c r="F1" s="10"/>
      <c r="G1" s="10"/>
      <c r="H1" s="10"/>
    </row>
    <row r="3" ht="13.5" customHeight="1" spans="1:8">
      <c r="A3" s="11" t="s">
        <v>215</v>
      </c>
      <c r="B3" s="11"/>
      <c r="C3" s="11"/>
      <c r="D3" s="11"/>
      <c r="E3" s="11"/>
      <c r="F3" s="11"/>
      <c r="G3" s="11"/>
      <c r="H3" s="11"/>
    </row>
    <row r="5" ht="25.5" customHeight="1" spans="1:8">
      <c r="A5" s="12" t="s">
        <v>189</v>
      </c>
      <c r="B5" s="12" t="s">
        <v>216</v>
      </c>
      <c r="C5" s="12" t="s">
        <v>217</v>
      </c>
      <c r="D5" s="12" t="s">
        <v>218</v>
      </c>
      <c r="E5" s="12" t="s">
        <v>219</v>
      </c>
      <c r="F5" s="12" t="s">
        <v>220</v>
      </c>
      <c r="G5" s="13" t="s">
        <v>221</v>
      </c>
      <c r="H5" s="12" t="s">
        <v>88</v>
      </c>
    </row>
    <row r="6" ht="15" customHeight="1" spans="1:8">
      <c r="A6" s="14" t="s">
        <v>222</v>
      </c>
      <c r="B6" s="15" t="s">
        <v>223</v>
      </c>
      <c r="C6" s="14" t="s">
        <v>224</v>
      </c>
      <c r="D6" s="16"/>
      <c r="E6" s="16"/>
      <c r="F6" s="16">
        <v>0.48</v>
      </c>
      <c r="G6" s="16">
        <v>10.25</v>
      </c>
      <c r="H6" s="15" t="s">
        <v>225</v>
      </c>
    </row>
    <row r="7" ht="15" customHeight="1" spans="1:8">
      <c r="A7" s="14" t="s">
        <v>226</v>
      </c>
      <c r="B7" s="15" t="s">
        <v>223</v>
      </c>
      <c r="C7" s="14" t="s">
        <v>227</v>
      </c>
      <c r="D7" s="16"/>
      <c r="E7" s="16"/>
      <c r="F7" s="16">
        <v>0.44</v>
      </c>
      <c r="G7" s="16">
        <v>22.63</v>
      </c>
      <c r="H7" s="15" t="s">
        <v>225</v>
      </c>
    </row>
    <row r="8" ht="15" customHeight="1" spans="1:8">
      <c r="A8" s="14" t="s">
        <v>228</v>
      </c>
      <c r="B8" s="15" t="s">
        <v>223</v>
      </c>
      <c r="C8" s="14" t="s">
        <v>224</v>
      </c>
      <c r="D8" s="16"/>
      <c r="E8" s="16"/>
      <c r="F8" s="16">
        <v>0.48</v>
      </c>
      <c r="G8" s="16">
        <v>5.42</v>
      </c>
      <c r="H8" s="15" t="s">
        <v>229</v>
      </c>
    </row>
    <row r="9" ht="15" customHeight="1" spans="1:8">
      <c r="A9" s="14" t="s">
        <v>230</v>
      </c>
      <c r="B9" s="15" t="s">
        <v>223</v>
      </c>
      <c r="C9" s="14" t="s">
        <v>227</v>
      </c>
      <c r="D9" s="16"/>
      <c r="E9" s="16"/>
      <c r="F9" s="16">
        <v>0.58</v>
      </c>
      <c r="G9" s="16">
        <v>20.72</v>
      </c>
      <c r="H9" s="15" t="s">
        <v>231</v>
      </c>
    </row>
    <row r="10" ht="15" customHeight="1" spans="1:8">
      <c r="A10" s="14" t="s">
        <v>232</v>
      </c>
      <c r="B10" s="14" t="s">
        <v>233</v>
      </c>
      <c r="C10" s="14" t="s">
        <v>224</v>
      </c>
      <c r="D10" s="16"/>
      <c r="E10" s="16"/>
      <c r="F10" s="16">
        <v>0.48</v>
      </c>
      <c r="G10" s="16">
        <v>5.48</v>
      </c>
      <c r="H10" s="15" t="s">
        <v>234</v>
      </c>
    </row>
    <row r="11" ht="15" customHeight="1" spans="1:8">
      <c r="A11" s="14" t="s">
        <v>235</v>
      </c>
      <c r="B11" s="14" t="s">
        <v>233</v>
      </c>
      <c r="C11" s="14" t="s">
        <v>227</v>
      </c>
      <c r="D11" s="16"/>
      <c r="E11" s="16"/>
      <c r="F11" s="16">
        <v>0.43</v>
      </c>
      <c r="G11" s="16">
        <v>8.96</v>
      </c>
      <c r="H11" s="15" t="s">
        <v>236</v>
      </c>
    </row>
    <row r="12" ht="15" customHeight="1" spans="1:8">
      <c r="A12" s="14" t="s">
        <v>237</v>
      </c>
      <c r="B12" s="14" t="s">
        <v>238</v>
      </c>
      <c r="C12" s="14" t="s">
        <v>224</v>
      </c>
      <c r="D12" s="16"/>
      <c r="E12" s="16"/>
      <c r="F12" s="16">
        <v>0.36</v>
      </c>
      <c r="G12" s="16">
        <v>6.63</v>
      </c>
      <c r="H12" s="15" t="s">
        <v>239</v>
      </c>
    </row>
    <row r="13" ht="15" customHeight="1" spans="1:8">
      <c r="A13" s="14" t="s">
        <v>240</v>
      </c>
      <c r="B13" s="14" t="s">
        <v>238</v>
      </c>
      <c r="C13" s="14" t="s">
        <v>227</v>
      </c>
      <c r="D13" s="16"/>
      <c r="E13" s="16"/>
      <c r="F13" s="16">
        <v>0.53</v>
      </c>
      <c r="G13" s="16">
        <v>5.35</v>
      </c>
      <c r="H13" s="15" t="s">
        <v>241</v>
      </c>
    </row>
    <row r="14" ht="15" customHeight="1" spans="1:8">
      <c r="A14" s="14" t="s">
        <v>242</v>
      </c>
      <c r="B14" s="15" t="s">
        <v>223</v>
      </c>
      <c r="C14" s="14" t="s">
        <v>243</v>
      </c>
      <c r="D14" s="16"/>
      <c r="E14" s="16"/>
      <c r="F14" s="16"/>
      <c r="G14" s="16"/>
      <c r="H14" s="17" t="s">
        <v>244</v>
      </c>
    </row>
    <row r="15" ht="15" customHeight="1" spans="1:8">
      <c r="A15" s="14" t="s">
        <v>245</v>
      </c>
      <c r="B15" s="15" t="s">
        <v>223</v>
      </c>
      <c r="C15" s="14" t="s">
        <v>246</v>
      </c>
      <c r="D15" s="16"/>
      <c r="E15" s="16"/>
      <c r="F15" s="16"/>
      <c r="G15" s="16"/>
      <c r="H15" s="17" t="s">
        <v>244</v>
      </c>
    </row>
    <row r="17" ht="15" customHeight="1" spans="1:8">
      <c r="A17" s="18" t="s">
        <v>247</v>
      </c>
      <c r="B17" s="18"/>
      <c r="C17" s="18"/>
      <c r="D17" s="18"/>
      <c r="E17" s="18"/>
      <c r="F17" s="18"/>
      <c r="G17" s="18"/>
      <c r="H17" s="18"/>
    </row>
    <row r="18" ht="15" customHeight="1" spans="1:8">
      <c r="A18" s="12" t="s">
        <v>103</v>
      </c>
      <c r="B18" s="12" t="s">
        <v>223</v>
      </c>
      <c r="C18" s="12" t="s">
        <v>248</v>
      </c>
    </row>
    <row r="19" ht="25.5" customHeight="1" spans="1:8">
      <c r="A19" s="15" t="s">
        <v>249</v>
      </c>
      <c r="B19" s="19">
        <f>AVERAGE(F6,F8)</f>
        <v>0.48</v>
      </c>
      <c r="C19" s="19">
        <f>AVERAGE(F10,F12)</f>
        <v>0.42</v>
      </c>
    </row>
    <row r="20" ht="25.5" customHeight="1" spans="1:8">
      <c r="A20" s="15" t="s">
        <v>250</v>
      </c>
      <c r="B20" s="19">
        <f>AVERAGE(F7,F9)</f>
        <v>0.51</v>
      </c>
      <c r="C20" s="19">
        <f>AVERAGE(F11,F13)</f>
        <v>0.48</v>
      </c>
    </row>
    <row r="21" ht="25.5" customHeight="1" spans="1:8">
      <c r="A21" s="14" t="s">
        <v>251</v>
      </c>
      <c r="B21" s="20">
        <f>AVERAGE(G6,G7,G8,G9)</f>
        <v>14.755</v>
      </c>
      <c r="C21" s="20">
        <f>AVERAGE(G10,G11,G12,G13)</f>
        <v>6.605</v>
      </c>
    </row>
    <row r="22" ht="25.5" customHeight="1" spans="1:8">
      <c r="A22" s="15" t="s">
        <v>252</v>
      </c>
      <c r="B22" s="21" t="s">
        <v>253</v>
      </c>
      <c r="C22" s="21" t="s">
        <v>253</v>
      </c>
    </row>
  </sheetData>
  <mergeCells count="3">
    <mergeCell ref="A1:H1"/>
    <mergeCell ref="A3:H3"/>
    <mergeCell ref="A17:H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opLeftCell="A19" workbookViewId="0">
      <selection activeCell="A1" sqref="A1:B1"/>
    </sheetView>
  </sheetViews>
  <sheetFormatPr defaultColWidth="8.69090909090909" defaultRowHeight="14.5" outlineLevelCol="1"/>
  <cols>
    <col min="1" max="1" width="18" style="1" customWidth="1"/>
    <col min="2" max="2" width="70" style="1" customWidth="1"/>
  </cols>
  <sheetData>
    <row r="1" ht="17.25" customHeight="1" spans="1:2">
      <c r="A1" s="2" t="s">
        <v>254</v>
      </c>
      <c r="B1" s="2"/>
    </row>
    <row r="3" ht="14.25" customHeight="1" spans="1:2">
      <c r="A3" s="3"/>
      <c r="B3" s="3"/>
    </row>
    <row r="4" ht="14.25" customHeight="1" spans="1:2">
      <c r="A4" s="4" t="s">
        <v>255</v>
      </c>
      <c r="B4" s="5"/>
    </row>
    <row r="5" ht="15" customHeight="1" spans="1:2">
      <c r="A5" s="3"/>
      <c r="B5" s="3" t="s">
        <v>256</v>
      </c>
    </row>
    <row r="6" ht="15" customHeight="1" spans="1:2">
      <c r="A6" s="3"/>
      <c r="B6" s="3" t="s">
        <v>257</v>
      </c>
    </row>
    <row r="7" ht="15" customHeight="1" spans="1:2">
      <c r="A7" s="3"/>
      <c r="B7" s="3" t="s">
        <v>258</v>
      </c>
    </row>
    <row r="8" ht="15" customHeight="1" spans="1:2">
      <c r="A8" s="3"/>
      <c r="B8" s="3" t="s">
        <v>259</v>
      </c>
    </row>
    <row r="9" ht="15" customHeight="1" spans="1:2">
      <c r="A9" s="3"/>
      <c r="B9" s="6" t="s">
        <v>260</v>
      </c>
    </row>
    <row r="10" ht="15" customHeight="1" spans="1:2">
      <c r="A10" s="3"/>
      <c r="B10" s="6" t="s">
        <v>261</v>
      </c>
    </row>
    <row r="11" ht="14.25" customHeight="1" spans="1:2">
      <c r="A11" s="3"/>
      <c r="B11" s="3"/>
    </row>
    <row r="12" ht="14.25" customHeight="1" spans="1:2">
      <c r="A12" s="4" t="s">
        <v>262</v>
      </c>
      <c r="B12" s="5"/>
    </row>
    <row r="13" ht="15" customHeight="1" spans="1:2">
      <c r="A13" s="3" t="s">
        <v>263</v>
      </c>
      <c r="B13" s="3" t="s">
        <v>264</v>
      </c>
    </row>
    <row r="14" ht="15" customHeight="1" spans="1:2">
      <c r="A14" s="3" t="s">
        <v>265</v>
      </c>
      <c r="B14" s="3" t="s">
        <v>266</v>
      </c>
    </row>
    <row r="15" ht="15" customHeight="1" spans="1:2">
      <c r="A15" s="3" t="s">
        <v>267</v>
      </c>
      <c r="B15" s="3" t="s">
        <v>268</v>
      </c>
    </row>
    <row r="16" ht="15" customHeight="1" spans="1:2">
      <c r="A16" s="3" t="s">
        <v>269</v>
      </c>
      <c r="B16" s="3" t="s">
        <v>270</v>
      </c>
    </row>
    <row r="17" ht="15" customHeight="1" spans="1:2">
      <c r="A17" s="3" t="s">
        <v>271</v>
      </c>
      <c r="B17" s="3" t="s">
        <v>272</v>
      </c>
    </row>
    <row r="18" ht="14.25" customHeight="1" spans="1:2">
      <c r="A18" s="3"/>
      <c r="B18" s="3"/>
    </row>
    <row r="19" ht="14.25" customHeight="1" spans="1:2">
      <c r="A19" s="4" t="s">
        <v>273</v>
      </c>
      <c r="B19" s="5"/>
    </row>
    <row r="20" ht="15" customHeight="1" spans="1:2">
      <c r="A20" s="6" t="s">
        <v>274</v>
      </c>
      <c r="B20" s="3" t="s">
        <v>275</v>
      </c>
    </row>
    <row r="21" ht="15" customHeight="1" spans="1:2">
      <c r="A21" s="6" t="s">
        <v>276</v>
      </c>
      <c r="B21" s="6" t="s">
        <v>277</v>
      </c>
    </row>
    <row r="22" ht="15" customHeight="1" spans="1:2">
      <c r="A22" s="6" t="s">
        <v>278</v>
      </c>
      <c r="B22" s="3" t="s">
        <v>279</v>
      </c>
    </row>
    <row r="23" ht="15" customHeight="1" spans="1:2">
      <c r="A23" s="3" t="s">
        <v>280</v>
      </c>
      <c r="B23" s="6" t="s">
        <v>281</v>
      </c>
    </row>
    <row r="24" ht="15" customHeight="1" spans="1:2">
      <c r="A24" s="3" t="s">
        <v>282</v>
      </c>
      <c r="B24" s="6" t="s">
        <v>283</v>
      </c>
    </row>
    <row r="25" ht="14.25" customHeight="1" spans="1:2">
      <c r="A25" s="3"/>
      <c r="B25" s="3"/>
    </row>
    <row r="26" ht="15" customHeight="1" spans="1:2">
      <c r="A26" s="4" t="s">
        <v>284</v>
      </c>
      <c r="B26" s="5"/>
    </row>
    <row r="27" ht="14.25" customHeight="1" spans="1:2">
      <c r="A27" s="3" t="s">
        <v>263</v>
      </c>
      <c r="B27" s="6" t="s">
        <v>285</v>
      </c>
    </row>
    <row r="28" ht="15" customHeight="1" spans="1:2">
      <c r="A28" s="3" t="s">
        <v>265</v>
      </c>
      <c r="B28" s="6" t="s">
        <v>286</v>
      </c>
    </row>
    <row r="29" ht="15" customHeight="1" spans="1:2">
      <c r="A29" s="3" t="s">
        <v>267</v>
      </c>
      <c r="B29" s="6" t="s">
        <v>287</v>
      </c>
    </row>
    <row r="30" ht="15" customHeight="1" spans="1:2">
      <c r="A30" s="3"/>
      <c r="B30" s="3" t="s">
        <v>288</v>
      </c>
    </row>
    <row r="31" ht="15" customHeight="1" spans="1:2">
      <c r="A31" s="3"/>
      <c r="B31" s="3" t="s">
        <v>289</v>
      </c>
    </row>
    <row r="32" ht="15" customHeight="1" spans="1:2">
      <c r="A32" s="3"/>
      <c r="B32" s="3" t="s">
        <v>290</v>
      </c>
    </row>
    <row r="33" ht="15" customHeight="1" spans="1:2">
      <c r="A33" s="3"/>
      <c r="B33" s="3" t="s">
        <v>291</v>
      </c>
    </row>
    <row r="34" ht="15" customHeight="1" spans="1:2">
      <c r="A34" s="3" t="s">
        <v>269</v>
      </c>
      <c r="B34" s="6" t="s">
        <v>292</v>
      </c>
    </row>
    <row r="35" ht="14.25" customHeight="1" spans="1:2">
      <c r="A35" s="3" t="s">
        <v>271</v>
      </c>
      <c r="B35" s="6" t="s">
        <v>293</v>
      </c>
    </row>
    <row r="36" ht="14.25" customHeight="1" spans="1:2">
      <c r="A36" s="3"/>
      <c r="B36" s="3"/>
    </row>
    <row r="37" ht="15" customHeight="1" spans="1:2">
      <c r="A37" s="4" t="s">
        <v>294</v>
      </c>
      <c r="B37" s="5"/>
    </row>
    <row r="38" ht="15" customHeight="1" spans="1:2">
      <c r="A38" s="3" t="s">
        <v>263</v>
      </c>
      <c r="B38" s="3" t="s">
        <v>295</v>
      </c>
    </row>
    <row r="39" ht="14.25" customHeight="1" spans="1:2">
      <c r="A39" s="3" t="s">
        <v>265</v>
      </c>
      <c r="B39" s="6" t="s">
        <v>296</v>
      </c>
    </row>
    <row r="40" ht="15" customHeight="1" spans="1:2">
      <c r="A40" s="3" t="s">
        <v>267</v>
      </c>
      <c r="B40" s="6" t="s">
        <v>297</v>
      </c>
    </row>
    <row r="41" ht="15" customHeight="1" spans="1:2">
      <c r="A41" s="3" t="s">
        <v>269</v>
      </c>
      <c r="B41" s="6" t="s">
        <v>298</v>
      </c>
    </row>
    <row r="42" ht="15" customHeight="1" spans="1:2">
      <c r="A42" s="3" t="s">
        <v>271</v>
      </c>
      <c r="B42" s="6" t="s">
        <v>299</v>
      </c>
    </row>
    <row r="43" ht="14.25" customHeight="1" spans="1:2">
      <c r="A43" s="3"/>
      <c r="B43" s="3"/>
    </row>
    <row r="44" ht="15" customHeight="1" spans="1:2">
      <c r="A44" s="4" t="s">
        <v>300</v>
      </c>
      <c r="B44" s="5"/>
    </row>
    <row r="45" ht="15" customHeight="1" spans="1:2">
      <c r="A45" s="3" t="s">
        <v>263</v>
      </c>
      <c r="B45" s="6" t="s">
        <v>301</v>
      </c>
    </row>
    <row r="46" ht="15" customHeight="1" spans="1:2">
      <c r="A46" s="3" t="s">
        <v>265</v>
      </c>
      <c r="B46" s="6" t="s">
        <v>302</v>
      </c>
    </row>
    <row r="47" ht="15" customHeight="1" spans="1:2">
      <c r="A47" s="3" t="s">
        <v>267</v>
      </c>
      <c r="B47" s="6" t="s">
        <v>303</v>
      </c>
    </row>
    <row r="48" ht="15" customHeight="1" spans="1:2">
      <c r="A48" s="3" t="s">
        <v>269</v>
      </c>
      <c r="B48" s="6" t="s">
        <v>304</v>
      </c>
    </row>
    <row r="49" ht="14.25" customHeight="1" spans="1:2">
      <c r="A49" s="3" t="s">
        <v>271</v>
      </c>
      <c r="B49" s="6" t="s">
        <v>305</v>
      </c>
    </row>
    <row r="50" ht="15" customHeight="1" spans="1:2">
      <c r="A50" s="3" t="s">
        <v>306</v>
      </c>
      <c r="B50" s="6" t="s">
        <v>307</v>
      </c>
    </row>
    <row r="51" ht="14.25" customHeight="1" spans="1:2">
      <c r="A51" s="3"/>
      <c r="B51" s="3"/>
    </row>
    <row r="52" ht="14.25" customHeight="1" spans="1:2">
      <c r="A52" s="4" t="s">
        <v>308</v>
      </c>
      <c r="B52" s="5"/>
    </row>
    <row r="53" ht="15" customHeight="1" spans="1:2">
      <c r="A53" s="7" t="s">
        <v>309</v>
      </c>
      <c r="B53" s="8" t="s">
        <v>310</v>
      </c>
    </row>
    <row r="54" ht="14.25" customHeight="1" spans="1:2">
      <c r="A54" s="7" t="s">
        <v>309</v>
      </c>
      <c r="B54" s="9" t="s">
        <v>311</v>
      </c>
    </row>
    <row r="55" ht="15" customHeight="1" spans="1:2">
      <c r="A55" s="7" t="s">
        <v>309</v>
      </c>
      <c r="B55" s="8" t="s">
        <v>312</v>
      </c>
    </row>
    <row r="56" ht="15" customHeight="1" spans="1:2">
      <c r="A56" s="7" t="s">
        <v>309</v>
      </c>
      <c r="B56" s="8" t="s">
        <v>313</v>
      </c>
    </row>
    <row r="57" ht="15" customHeight="1" spans="1:2">
      <c r="A57" s="7" t="s">
        <v>309</v>
      </c>
      <c r="B57" s="8" t="s">
        <v>314</v>
      </c>
    </row>
    <row r="58" ht="15" customHeight="1" spans="1:2">
      <c r="A58" s="7" t="s">
        <v>309</v>
      </c>
      <c r="B58" s="9" t="s">
        <v>315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稳态精度测试</vt:lpstr>
      <vt:lpstr>动态响应测试</vt:lpstr>
      <vt:lpstr>远程控制测试</vt:lpstr>
      <vt:lpstr>测试步骤指南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云淡风轻</cp:lastModifiedBy>
  <cp:revision>0</cp:revision>
  <dcterms:created xsi:type="dcterms:W3CDTF">2026-03-17T22:13:00Z</dcterms:created>
  <dcterms:modified xsi:type="dcterms:W3CDTF">2026-03-19T14:36:38Z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3DC9BE32DCAD4991AF5563510F142E49_12</vt:lpwstr>
  </property>
  <property fmtid="{D5CDD505-2E9C-101B-9397-08002B2CF9AE}" pid="4" name="KSOProductBuildVer">
    <vt:lpwstr>2052-12.1.0.25225</vt:lpwstr>
  </property>
</Properties>
</file>